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4"/>
  </bookViews>
  <sheets>
    <sheet name="Schools" sheetId="1" state="visible" r:id="rId3"/>
    <sheet name="Buses" sheetId="2" state="visible" r:id="rId4"/>
    <sheet name="Routes" sheetId="3" state="visible" r:id="rId5"/>
    <sheet name="Route assignments" sheetId="4" state="visible" r:id="rId6"/>
    <sheet name="Entries" sheetId="5" state="visible" r:id="rId7"/>
    <sheet name="Parts changed" sheetId="6" state="visible" r:id="rId8"/>
    <sheet name="Bus documents" sheetId="7" state="visible" r:id="rId9"/>
    <sheet name="Workshops" sheetId="8" state="visible" r:id="rId10"/>
    <sheet name="Lists" sheetId="9" state="visible" r:id="rId11"/>
    <sheet name="Settings" sheetId="10" state="visible" r:id="rId12"/>
    <sheet name="Change log" sheetId="11" state="visible" r:id="rId13"/>
    <sheet name="AI summaries" sheetId="12" state="visible" r:id="rId14"/>
    <sheet name="Fleet dashboard" sheetId="13" state="visible" r:id="rId15"/>
    <sheet name="Repeat repairs" sheetId="14" state="visible" r:id="rId16"/>
    <sheet name="Dashboard" sheetId="15" state="visible" r:id="rId17"/>
  </sheets>
  <definedNames>
    <definedName function="false" hidden="true" localSheetId="11" name="_xlnm._FilterDatabase" vbProcedure="false">'AI summaries'!$A$1:$D$1</definedName>
    <definedName function="false" hidden="true" localSheetId="6" name="_xlnm._FilterDatabase" vbProcedure="false">'Bus documents'!$A$1:$F$21</definedName>
    <definedName function="false" hidden="true" localSheetId="1" name="_xlnm._FilterDatabase" vbProcedure="false">Buses!$A$1:$K$11</definedName>
    <definedName function="false" hidden="true" localSheetId="10" name="_xlnm._FilterDatabase" vbProcedure="false">'Change log'!$A$1:$H$2</definedName>
    <definedName function="false" hidden="true" localSheetId="4" name="_xlnm._FilterDatabase" vbProcedure="false">Entries!$A$1:$X$32</definedName>
    <definedName function="false" hidden="true" localSheetId="12" name="_xlnm._FilterDatabase" vbProcedure="false">'Fleet dashboard'!$A$4:$J$14</definedName>
    <definedName function="false" hidden="true" localSheetId="8" name="_xlnm._FilterDatabase" vbProcedure="false">Lists!$A$1:$E$10</definedName>
    <definedName function="false" hidden="true" localSheetId="5" name="_xlnm._FilterDatabase" vbProcedure="false">'Parts changed'!$A$1:$K$35</definedName>
    <definedName function="false" hidden="true" localSheetId="13" name="_xlnm._FilterDatabase" vbProcedure="false">'Repeat repairs'!$A$4:$J$14</definedName>
    <definedName function="false" hidden="true" localSheetId="3" name="_xlnm._FilterDatabase" vbProcedure="false">'Route assignments'!$A$1:$E$11</definedName>
    <definedName function="false" hidden="true" localSheetId="2" name="_xlnm._FilterDatabase" vbProcedure="false">Routes!$A$1:$D$11</definedName>
    <definedName function="false" hidden="true" localSheetId="0" name="_xlnm._FilterDatabase" vbProcedure="false">Schools!$A$1:$F$1</definedName>
    <definedName function="false" hidden="true" localSheetId="9" name="_xlnm._FilterDatabase" vbProcedure="false">Settings!$A$1:$C$7</definedName>
    <definedName function="false" hidden="true" localSheetId="7" name="_xlnm._FilterDatabase" vbProcedure="false">Workshops!$A$1:$D$7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<sst xmlns="http://schemas.openxmlformats.org/spreadsheetml/2006/main" count="949" uniqueCount="359">
  <si>
    <t xml:space="preserve">school_id</t>
  </si>
  <si>
    <t xml:space="preserve">school_name</t>
  </si>
  <si>
    <t xml:space="preserve">short_name</t>
  </si>
  <si>
    <t xml:space="preserve">region</t>
  </si>
  <si>
    <t xml:space="preserve">active</t>
  </si>
  <si>
    <t xml:space="preserve">created_at</t>
  </si>
  <si>
    <t xml:space="preserve">bus_no</t>
  </si>
  <si>
    <t xml:space="preserve">reg_no</t>
  </si>
  <si>
    <t xml:space="preserve">make_model</t>
  </si>
  <si>
    <t xml:space="preserve">year</t>
  </si>
  <si>
    <t xml:space="preserve">seats</t>
  </si>
  <si>
    <t xml:space="preserve">driver_name</t>
  </si>
  <si>
    <t xml:space="preserve">status</t>
  </si>
  <si>
    <t xml:space="preserve">service_every_km</t>
  </si>
  <si>
    <t xml:space="preserve">service_every_days</t>
  </si>
  <si>
    <t xml:space="preserve">01</t>
  </si>
  <si>
    <t xml:space="preserve">TN 22 BX 1101</t>
  </si>
  <si>
    <t xml:space="preserve">Tata Starbus 40</t>
  </si>
  <si>
    <t xml:space="preserve">S. Ravi</t>
  </si>
  <si>
    <t xml:space="preserve">On route</t>
  </si>
  <si>
    <t xml:space="preserve">02</t>
  </si>
  <si>
    <t xml:space="preserve">TN 22 BX 1102</t>
  </si>
  <si>
    <t xml:space="preserve">Ashok Leyland Sunshine</t>
  </si>
  <si>
    <t xml:space="preserve">P. Anand</t>
  </si>
  <si>
    <t xml:space="preserve">03</t>
  </si>
  <si>
    <t xml:space="preserve">TN 22 BX 1103</t>
  </si>
  <si>
    <t xml:space="preserve">K. Mani</t>
  </si>
  <si>
    <t xml:space="preserve">04</t>
  </si>
  <si>
    <t xml:space="preserve">TN 22 BX 1104</t>
  </si>
  <si>
    <t xml:space="preserve">R. Kumar</t>
  </si>
  <si>
    <t xml:space="preserve">In workshop</t>
  </si>
  <si>
    <t xml:space="preserve">05</t>
  </si>
  <si>
    <t xml:space="preserve">TN 22 BX 1105</t>
  </si>
  <si>
    <t xml:space="preserve">Eicher Skyline Pro</t>
  </si>
  <si>
    <t xml:space="preserve">L. Prakash</t>
  </si>
  <si>
    <t xml:space="preserve">06</t>
  </si>
  <si>
    <t xml:space="preserve">TN 22 BX 1106</t>
  </si>
  <si>
    <t xml:space="preserve">Ashok Leyland Lynx</t>
  </si>
  <si>
    <t xml:space="preserve">S. Devi</t>
  </si>
  <si>
    <t xml:space="preserve">07</t>
  </si>
  <si>
    <t xml:space="preserve">TN 22 BX 1107</t>
  </si>
  <si>
    <t xml:space="preserve">V. Suresh</t>
  </si>
  <si>
    <t xml:space="preserve">08</t>
  </si>
  <si>
    <t xml:space="preserve">TN 22 BX 1108</t>
  </si>
  <si>
    <t xml:space="preserve">A. Rahim</t>
  </si>
  <si>
    <t xml:space="preserve">09</t>
  </si>
  <si>
    <t xml:space="preserve">TN 22 BX 1109</t>
  </si>
  <si>
    <t xml:space="preserve">M. Joseph</t>
  </si>
  <si>
    <t xml:space="preserve">10</t>
  </si>
  <si>
    <t xml:space="preserve">TN 22 BX 1110</t>
  </si>
  <si>
    <t xml:space="preserve">G. Babu</t>
  </si>
  <si>
    <t xml:space="preserve">route_id</t>
  </si>
  <si>
    <t xml:space="preserve">route_name</t>
  </si>
  <si>
    <t xml:space="preserve">notes</t>
  </si>
  <si>
    <t xml:space="preserve">R01</t>
  </si>
  <si>
    <t xml:space="preserve">North Gate</t>
  </si>
  <si>
    <t xml:space="preserve">R02</t>
  </si>
  <si>
    <t xml:space="preserve">Lakeview</t>
  </si>
  <si>
    <t xml:space="preserve">R03</t>
  </si>
  <si>
    <t xml:space="preserve">Station Road</t>
  </si>
  <si>
    <t xml:space="preserve">R04</t>
  </si>
  <si>
    <t xml:space="preserve">Hillside Colony</t>
  </si>
  <si>
    <t xml:space="preserve">1.8 km steep descent, 22 stops</t>
  </si>
  <si>
    <t xml:space="preserve">R05</t>
  </si>
  <si>
    <t xml:space="preserve">Riverside</t>
  </si>
  <si>
    <t xml:space="preserve">R06</t>
  </si>
  <si>
    <t xml:space="preserve">Old Town</t>
  </si>
  <si>
    <t xml:space="preserve">R07</t>
  </si>
  <si>
    <t xml:space="preserve">Market Street</t>
  </si>
  <si>
    <t xml:space="preserve">R08</t>
  </si>
  <si>
    <t xml:space="preserve">East Park</t>
  </si>
  <si>
    <t xml:space="preserve">R09</t>
  </si>
  <si>
    <t xml:space="preserve">Airport Road</t>
  </si>
  <si>
    <t xml:space="preserve">R10</t>
  </si>
  <si>
    <t xml:space="preserve">Spare · field trips</t>
  </si>
  <si>
    <t xml:space="preserve">from_date</t>
  </si>
  <si>
    <t xml:space="preserve">to_date</t>
  </si>
  <si>
    <t xml:space="preserve">entry_id</t>
  </si>
  <si>
    <t xml:space="preserve">kind</t>
  </si>
  <si>
    <t xml:space="preserve">date_in</t>
  </si>
  <si>
    <t xml:space="preserve">date_out</t>
  </si>
  <si>
    <t xml:space="preserve">days_off_road</t>
  </si>
  <si>
    <t xml:space="preserve">odometer_km</t>
  </si>
  <si>
    <t xml:space="preserve">system</t>
  </si>
  <si>
    <t xml:space="preserve">problem_reported</t>
  </si>
  <si>
    <t xml:space="preserve">root_cause</t>
  </si>
  <si>
    <t xml:space="preserve">workshop</t>
  </si>
  <si>
    <t xml:space="preserve">bill_no</t>
  </si>
  <si>
    <t xml:space="preserve">labour_cost</t>
  </si>
  <si>
    <t xml:space="preserve">total_cost</t>
  </si>
  <si>
    <t xml:space="preserve">bill_link</t>
  </si>
  <si>
    <t xml:space="preserve">photo_links</t>
  </si>
  <si>
    <t xml:space="preserve">route_at_time</t>
  </si>
  <si>
    <t xml:space="preserve">is_repeat</t>
  </si>
  <si>
    <t xml:space="preserve">filled_by_ai</t>
  </si>
  <si>
    <t xml:space="preserve">record_status</t>
  </si>
  <si>
    <t xml:space="preserve">replaces_entry_id</t>
  </si>
  <si>
    <t xml:space="preserve">entered_by</t>
  </si>
  <si>
    <t xml:space="preserve">entered_at</t>
  </si>
  <si>
    <t xml:space="preserve">E-2025-0001</t>
  </si>
  <si>
    <t xml:space="preserve">Repair</t>
  </si>
  <si>
    <t xml:space="preserve">Battery &amp; electrical</t>
  </si>
  <si>
    <t xml:space="preserve">Dead battery after the Diwali break.</t>
  </si>
  <si>
    <t xml:space="preserve">Sat unused for 12 days.</t>
  </si>
  <si>
    <t xml:space="preserve">Power Batteries Co.</t>
  </si>
  <si>
    <t xml:space="preserve">Active</t>
  </si>
  <si>
    <t xml:space="preserve">demo</t>
  </si>
  <si>
    <t xml:space="preserve">2025-11-02 17:00</t>
  </si>
  <si>
    <t xml:space="preserve">E-2025-0002</t>
  </si>
  <si>
    <t xml:space="preserve">Breakdown</t>
  </si>
  <si>
    <t xml:space="preserve">Engine &amp; cooling</t>
  </si>
  <si>
    <t xml:space="preserve">Temperature warning on the way back from school. Students moved to Bus 10.</t>
  </si>
  <si>
    <t xml:space="preserve">Upper radiator hose cracked at the clamp.</t>
  </si>
  <si>
    <t xml:space="preserve">City Auto Works</t>
  </si>
  <si>
    <t xml:space="preserve">2025-11-29 17:00</t>
  </si>
  <si>
    <t xml:space="preserve">E-2025-0003</t>
  </si>
  <si>
    <t xml:space="preserve">Tyres &amp; alignment</t>
  </si>
  <si>
    <t xml:space="preserve">Worn tread on front-left.</t>
  </si>
  <si>
    <t xml:space="preserve">Highway Tyres</t>
  </si>
  <si>
    <t xml:space="preserve">2025-12-18 17:00</t>
  </si>
  <si>
    <t xml:space="preserve">E-2026-0001</t>
  </si>
  <si>
    <t xml:space="preserve">Brakes</t>
  </si>
  <si>
    <t xml:space="preserve">Squeak over speed breakers and brake noise.</t>
  </si>
  <si>
    <t xml:space="preserve">Worn.</t>
  </si>
  <si>
    <t xml:space="preserve">2026-01-20 17:00</t>
  </si>
  <si>
    <t xml:space="preserve">E-2026-0002</t>
  </si>
  <si>
    <t xml:space="preserve">Suspension</t>
  </si>
  <si>
    <t xml:space="preserve">Bus leaning to one side.</t>
  </si>
  <si>
    <t xml:space="preserve">Broken leaf spring, rear-left.</t>
  </si>
  <si>
    <t xml:space="preserve">2026-02-12 17:00</t>
  </si>
  <si>
    <t xml:space="preserve">E-2026-0003</t>
  </si>
  <si>
    <t xml:space="preserve">Scheduled service</t>
  </si>
  <si>
    <t xml:space="preserve">Due by interval.</t>
  </si>
  <si>
    <t xml:space="preserve">Routine. No advisories.</t>
  </si>
  <si>
    <t xml:space="preserve">In-house (school garage)</t>
  </si>
  <si>
    <t xml:space="preserve">E-2026-0004</t>
  </si>
  <si>
    <t xml:space="preserve">Inspection</t>
  </si>
  <si>
    <t xml:space="preserve">Annual fitness certificate.</t>
  </si>
  <si>
    <t xml:space="preserve">Passed. Advisory: front brake pads at 40%.</t>
  </si>
  <si>
    <t xml:space="preserve">RTO inspection</t>
  </si>
  <si>
    <t xml:space="preserve">2026-03-02 17:00</t>
  </si>
  <si>
    <t xml:space="preserve">E-2026-0005</t>
  </si>
  <si>
    <t xml:space="preserve">2026-03-09 17:00</t>
  </si>
  <si>
    <t xml:space="preserve">E-2026-0006</t>
  </si>
  <si>
    <t xml:space="preserve">2026-04-10 17:00</t>
  </si>
  <si>
    <t xml:space="preserve">E-2026-0007</t>
  </si>
  <si>
    <t xml:space="preserve">Longer stopping distance noticed by driver.</t>
  </si>
  <si>
    <t xml:space="preserve">2026-04-17 17:00</t>
  </si>
  <si>
    <t xml:space="preserve">E-2026-0008</t>
  </si>
  <si>
    <t xml:space="preserve">Bulge on sidewall.</t>
  </si>
  <si>
    <t xml:space="preserve">Pothole impact.</t>
  </si>
  <si>
    <t xml:space="preserve">2026-05-14 17:00</t>
  </si>
  <si>
    <t xml:space="preserve">E-2026-0009</t>
  </si>
  <si>
    <t xml:space="preserve">Slow cranking.</t>
  </si>
  <si>
    <t xml:space="preserve">Weak battery.</t>
  </si>
  <si>
    <t xml:space="preserve">2026-05-20 17:00</t>
  </si>
  <si>
    <t xml:space="preserve">E-2026-0010</t>
  </si>
  <si>
    <t xml:space="preserve">Clutch &amp; gearbox</t>
  </si>
  <si>
    <t xml:space="preserve">Clutch slipping when starting uphill near Hillside stop 6.</t>
  </si>
  <si>
    <t xml:space="preserve">Normal wear, accelerated by repeated hill starts.</t>
  </si>
  <si>
    <t xml:space="preserve">Sri Murugan Motors</t>
  </si>
  <si>
    <t xml:space="preserve">2026-06-06 17:00</t>
  </si>
  <si>
    <t xml:space="preserve">E-2026-0011</t>
  </si>
  <si>
    <t xml:space="preserve">Routine. Advisory: front pads at 60%.</t>
  </si>
  <si>
    <t xml:space="preserve">2026-07-22 17:00</t>
  </si>
  <si>
    <t xml:space="preserve">E-2026-0012</t>
  </si>
  <si>
    <t xml:space="preserve">2026-07-28 17:00</t>
  </si>
  <si>
    <t xml:space="preserve">E-2026-0013</t>
  </si>
  <si>
    <t xml:space="preserve">2026-07-31 17:00</t>
  </si>
  <si>
    <t xml:space="preserve">E-2026-0014</t>
  </si>
  <si>
    <t xml:space="preserve">2026-08-10 17:00</t>
  </si>
  <si>
    <t xml:space="preserve">E-2026-0015</t>
  </si>
  <si>
    <t xml:space="preserve">Routine. Battery terminals cleaned.</t>
  </si>
  <si>
    <t xml:space="preserve">2026-08-20 17:00</t>
  </si>
  <si>
    <t xml:space="preserve">E-2026-0016</t>
  </si>
  <si>
    <t xml:space="preserve">2026-08-28 17:00</t>
  </si>
  <si>
    <t xml:space="preserve">E-2026-0017</t>
  </si>
  <si>
    <t xml:space="preserve">2026-08-30 17:00</t>
  </si>
  <si>
    <t xml:space="preserve">E-2026-0018</t>
  </si>
  <si>
    <t xml:space="preserve">Inner edge worn to the wire.</t>
  </si>
  <si>
    <t xml:space="preserve">Uneven inner wear on front-left.</t>
  </si>
  <si>
    <t xml:space="preserve">2026-09-05 17:00</t>
  </si>
  <si>
    <t xml:space="preserve">E-2026-0019</t>
  </si>
  <si>
    <t xml:space="preserve">Wear indicator squeal during morning route.</t>
  </si>
  <si>
    <t xml:space="preserve">Pads glazed, consistent with overheating. Same part re-fitted.</t>
  </si>
  <si>
    <t xml:space="preserve">2026-09-08 17:00</t>
  </si>
  <si>
    <t xml:space="preserve">E-2026-0020</t>
  </si>
  <si>
    <t xml:space="preserve">2026-09-12 17:00</t>
  </si>
  <si>
    <t xml:space="preserve">E-2026-0021</t>
  </si>
  <si>
    <t xml:space="preserve">Would not start at 6:45 am. Jump-started.</t>
  </si>
  <si>
    <t xml:space="preserve">Battery fully discharged. Replaced under warranty claim.</t>
  </si>
  <si>
    <t xml:space="preserve">2026-09-15 17:00</t>
  </si>
  <si>
    <t xml:space="preserve">E-2026-0022</t>
  </si>
  <si>
    <t xml:space="preserve">2026-09-20 17:00</t>
  </si>
  <si>
    <t xml:space="preserve">E-2026-0023</t>
  </si>
  <si>
    <t xml:space="preserve">AC / fans</t>
  </si>
  <si>
    <t xml:space="preserve">Cabin fans not running.</t>
  </si>
  <si>
    <t xml:space="preserve">Fan motor seized.</t>
  </si>
  <si>
    <t xml:space="preserve">2026-09-25 17:00</t>
  </si>
  <si>
    <t xml:space="preserve">E-2026-0024</t>
  </si>
  <si>
    <t xml:space="preserve">2026-10-02 17:00</t>
  </si>
  <si>
    <t xml:space="preserve">E-2026-0025</t>
  </si>
  <si>
    <t xml:space="preserve">Bouncy ride, knocking sound at rear.</t>
  </si>
  <si>
    <t xml:space="preserve">Rear-left shock absorber leaking oil.</t>
  </si>
  <si>
    <t xml:space="preserve">2026-10-09 17:00</t>
  </si>
  <si>
    <t xml:space="preserve">E-2026-0026</t>
  </si>
  <si>
    <t xml:space="preserve">Doors &amp; body</t>
  </si>
  <si>
    <t xml:space="preserve">Wiper not working in rain.</t>
  </si>
  <si>
    <t xml:space="preserve">Wiper motor burnt out.</t>
  </si>
  <si>
    <t xml:space="preserve">2026-10-10 17:00</t>
  </si>
  <si>
    <t xml:space="preserve">E-2026-0027</t>
  </si>
  <si>
    <t xml:space="preserve">Headlamps dim.</t>
  </si>
  <si>
    <t xml:space="preserve">Bulbs at end of life.</t>
  </si>
  <si>
    <t xml:space="preserve">2026-10-12 17:00</t>
  </si>
  <si>
    <t xml:space="preserve">E-2026-0028</t>
  </si>
  <si>
    <t xml:space="preserve">Grinding noise and pulling left when braking on the Hillside descent. Reported by driver R. Kumar.</t>
  </si>
  <si>
    <t xml:space="preserve">Pads worn to 2 mm after only 1,660 km. Left caliper slider pins sticking.</t>
  </si>
  <si>
    <t xml:space="preserve">2231</t>
  </si>
  <si>
    <t xml:space="preserve">2026-10-18 17:00</t>
  </si>
  <si>
    <t xml:space="preserve">part_name</t>
  </si>
  <si>
    <t xml:space="preserve">position</t>
  </si>
  <si>
    <t xml:space="preserve">removed_part_no</t>
  </si>
  <si>
    <t xml:space="preserve">fitted_part_no</t>
  </si>
  <si>
    <t xml:space="preserve">part_cost</t>
  </si>
  <si>
    <t xml:space="preserve">warranty_until</t>
  </si>
  <si>
    <t xml:space="preserve">Battery 12V 150Ah</t>
  </si>
  <si>
    <t xml:space="preserve">BT-150</t>
  </si>
  <si>
    <t xml:space="preserve">Radiator hose, upper</t>
  </si>
  <si>
    <t xml:space="preserve">RH-40</t>
  </si>
  <si>
    <t xml:space="preserve">Tyre 8.25R16</t>
  </si>
  <si>
    <t xml:space="preserve">Front-left</t>
  </si>
  <si>
    <t xml:space="preserve">MRF Steel Muscle</t>
  </si>
  <si>
    <t xml:space="preserve">Front brake pads (set)</t>
  </si>
  <si>
    <t xml:space="preserve">Front axle</t>
  </si>
  <si>
    <t xml:space="preserve">BP-2241</t>
  </si>
  <si>
    <t xml:space="preserve">Leaf spring bushes (4)</t>
  </si>
  <si>
    <t xml:space="preserve">Rear</t>
  </si>
  <si>
    <t xml:space="preserve">LB-12</t>
  </si>
  <si>
    <t xml:space="preserve">Leaf spring</t>
  </si>
  <si>
    <t xml:space="preserve">Rear-left</t>
  </si>
  <si>
    <t xml:space="preserve">LS-90</t>
  </si>
  <si>
    <t xml:space="preserve">Engine oil + filter</t>
  </si>
  <si>
    <t xml:space="preserve">15W-40 / OF-118</t>
  </si>
  <si>
    <t xml:space="preserve">Rear brake shoes</t>
  </si>
  <si>
    <t xml:space="preserve">Rear axle</t>
  </si>
  <si>
    <t xml:space="preserve">BS-77</t>
  </si>
  <si>
    <t xml:space="preserve">Clutch plate</t>
  </si>
  <si>
    <t xml:space="preserve">CP-880</t>
  </si>
  <si>
    <t xml:space="preserve">Pressure plate</t>
  </si>
  <si>
    <t xml:space="preserve">PP-880</t>
  </si>
  <si>
    <t xml:space="preserve">Cabin fan motor</t>
  </si>
  <si>
    <t xml:space="preserve">FM-3</t>
  </si>
  <si>
    <t xml:space="preserve">Shock absorber</t>
  </si>
  <si>
    <t xml:space="preserve">SA-44</t>
  </si>
  <si>
    <t xml:space="preserve">Wiper motor</t>
  </si>
  <si>
    <t xml:space="preserve">WM-12</t>
  </si>
  <si>
    <t xml:space="preserve">Headlamp bulbs (pair)</t>
  </si>
  <si>
    <t xml:space="preserve">H4</t>
  </si>
  <si>
    <t xml:space="preserve">BP-2241HD</t>
  </si>
  <si>
    <t xml:space="preserve">Front brake disc</t>
  </si>
  <si>
    <t xml:space="preserve">BD-310</t>
  </si>
  <si>
    <t xml:space="preserve">doc_type</t>
  </si>
  <si>
    <t xml:space="preserve">doc_number</t>
  </si>
  <si>
    <t xml:space="preserve">valid_until</t>
  </si>
  <si>
    <t xml:space="preserve">file_link</t>
  </si>
  <si>
    <t xml:space="preserve">Fitness certificate</t>
  </si>
  <si>
    <t xml:space="preserve">FC/2026/88101</t>
  </si>
  <si>
    <t xml:space="preserve">Insurance</t>
  </si>
  <si>
    <t xml:space="preserve">POL-7701</t>
  </si>
  <si>
    <t xml:space="preserve">FC/2026/88102</t>
  </si>
  <si>
    <t xml:space="preserve">POL-7702</t>
  </si>
  <si>
    <t xml:space="preserve">FC/2026/88103</t>
  </si>
  <si>
    <t xml:space="preserve">POL-7703</t>
  </si>
  <si>
    <t xml:space="preserve">FC/2026/88104</t>
  </si>
  <si>
    <t xml:space="preserve">POL-7704</t>
  </si>
  <si>
    <t xml:space="preserve">FC/2026/88105</t>
  </si>
  <si>
    <t xml:space="preserve">POL-7705</t>
  </si>
  <si>
    <t xml:space="preserve">FC/2026/88106</t>
  </si>
  <si>
    <t xml:space="preserve">POL-7706</t>
  </si>
  <si>
    <t xml:space="preserve">FC/2026/88107</t>
  </si>
  <si>
    <t xml:space="preserve">POL-7707</t>
  </si>
  <si>
    <t xml:space="preserve">FC/2026/88108</t>
  </si>
  <si>
    <t xml:space="preserve">POL-7708</t>
  </si>
  <si>
    <t xml:space="preserve">FC/2026/88109</t>
  </si>
  <si>
    <t xml:space="preserve">POL-7709</t>
  </si>
  <si>
    <t xml:space="preserve">FC/2026/88110</t>
  </si>
  <si>
    <t xml:space="preserve">POL-7710</t>
  </si>
  <si>
    <t xml:space="preserve">workshop_name</t>
  </si>
  <si>
    <t xml:space="preserve">phone</t>
  </si>
  <si>
    <t xml:space="preserve">address</t>
  </si>
  <si>
    <t xml:space="preserve">systems</t>
  </si>
  <si>
    <t xml:space="preserve">entry_kinds</t>
  </si>
  <si>
    <t xml:space="preserve">bus_statuses</t>
  </si>
  <si>
    <t xml:space="preserve">doc_types</t>
  </si>
  <si>
    <t xml:space="preserve">Out of service</t>
  </si>
  <si>
    <t xml:space="preserve">Permit</t>
  </si>
  <si>
    <t xml:space="preserve">Pollution (PUC)</t>
  </si>
  <si>
    <t xml:space="preserve">Road tax</t>
  </si>
  <si>
    <t xml:space="preserve">Other</t>
  </si>
  <si>
    <t xml:space="preserve">key</t>
  </si>
  <si>
    <t xml:space="preserve">value</t>
  </si>
  <si>
    <t xml:space="preserve">default_service_km</t>
  </si>
  <si>
    <t xml:space="preserve">10000</t>
  </si>
  <si>
    <t xml:space="preserve">default_service_days</t>
  </si>
  <si>
    <t xml:space="preserve">90</t>
  </si>
  <si>
    <t xml:space="preserve">repeat_window_days</t>
  </si>
  <si>
    <t xml:space="preserve">180</t>
  </si>
  <si>
    <t xml:space="preserve">ai_enabled</t>
  </si>
  <si>
    <t xml:space="preserve">TRUE</t>
  </si>
  <si>
    <t xml:space="preserve">allowed_users</t>
  </si>
  <si>
    <t xml:space="preserve">reminder_emails</t>
  </si>
  <si>
    <t xml:space="preserve">timestamp</t>
  </si>
  <si>
    <t xml:space="preserve">user</t>
  </si>
  <si>
    <t xml:space="preserve">action</t>
  </si>
  <si>
    <t xml:space="preserve">tab</t>
  </si>
  <si>
    <t xml:space="preserve">record_id</t>
  </si>
  <si>
    <t xml:space="preserve">field</t>
  </si>
  <si>
    <t xml:space="preserve">old_value</t>
  </si>
  <si>
    <t xml:space="preserve">new_value</t>
  </si>
  <si>
    <t xml:space="preserve">2026-10-22 09:00</t>
  </si>
  <si>
    <t xml:space="preserve">Added</t>
  </si>
  <si>
    <t xml:space="preserve">All</t>
  </si>
  <si>
    <t xml:space="preserve">Demo data loaded</t>
  </si>
  <si>
    <t xml:space="preserve">generated_at</t>
  </si>
  <si>
    <t xml:space="preserve">summary</t>
  </si>
  <si>
    <t xml:space="preserve">based_on_last_entry_id</t>
  </si>
  <si>
    <t xml:space="preserve">Fleet service view</t>
  </si>
  <si>
    <t xml:space="preserve">Live calculations from the workbook data. Service intervals default to 10,000 km or 90 days unless set per bus.</t>
  </si>
  <si>
    <t xml:space="preserve">Bus</t>
  </si>
  <si>
    <t xml:space="preserve">Route</t>
  </si>
  <si>
    <t xml:space="preserve">Status</t>
  </si>
  <si>
    <t xml:space="preserve">Odometer km</t>
  </si>
  <si>
    <t xml:space="preserve">Last service</t>
  </si>
  <si>
    <t xml:space="preserve">Service status</t>
  </si>
  <si>
    <t xml:space="preserve">Km to service</t>
  </si>
  <si>
    <t xml:space="preserve">Days to service</t>
  </si>
  <si>
    <t xml:space="preserve">Spend since service (₹)</t>
  </si>
  <si>
    <t xml:space="preserve">Repairs · 12 mo</t>
  </si>
  <si>
    <t xml:space="preserve">OK</t>
  </si>
  <si>
    <t xml:space="preserve">DUE SOON</t>
  </si>
  <si>
    <t xml:space="preserve">OVERDUE</t>
  </si>
  <si>
    <t xml:space="preserve">Repeat repairs · last 12 months</t>
  </si>
  <si>
    <t xml:space="preserve">Repair and breakdown counts by bus and system. Cells with 2 or more warrant review.</t>
  </si>
  <si>
    <t xml:space="preserve">Total</t>
  </si>
  <si>
    <t xml:space="preserve">BUS LOGBOOK  /  FLEET DASHBOARD</t>
  </si>
  <si>
    <t xml:space="preserve">Standalone Excel edition · illustrative demo data · summary calculated from included records</t>
  </si>
  <si>
    <t xml:space="preserve">ACTIVE BUSES</t>
  </si>
  <si>
    <t xml:space="preserve">IN WORKSHOP</t>
  </si>
  <si>
    <t xml:space="preserve">SERVICE DUE / OVERDUE</t>
  </si>
  <si>
    <t xml:space="preserve">MAINTENANCE SPEND · THIS YEAR</t>
  </si>
  <si>
    <t xml:space="preserve">SERVICE WATCH</t>
  </si>
  <si>
    <t xml:space="preserve">REPEAT REPAIRS</t>
  </si>
  <si>
    <t xml:space="preserve">1 bus(es) overdue for service</t>
  </si>
  <si>
    <t xml:space="preserve">4 bus/system pair(s) have 2+ repairs</t>
  </si>
  <si>
    <t xml:space="preserve">WORKBOOK CONTENTS</t>
  </si>
  <si>
    <t xml:space="preserve">Fleet dashboard: per-bus service and spending status. Repeat repairs: 12-month counts by bus and system. The remaining tabs contain the full editable source data, including buses, routes, maintenance entries, changed parts, documents, workshops, settings and change log.</t>
  </si>
  <si>
    <t xml:space="preserve">Illustrative sample records are included for demonstration. Replace the rows in the data tabs with approved school data before operational use.</t>
  </si>
  <si>
    <t xml:space="preserve">Fleet detail: use the Fleet dashboard tab below</t>
  </si>
  <si>
    <t xml:space="preserve">Repeat repairs: use the Repeat repairs tab below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</si>
</sst>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/mm/yyyy"/>
    <numFmt numFmtId="166" formatCode="#,##0"/>
    <numFmt numFmtId="167" formatCode="dd\ mmm\ yyyy"/>
    <numFmt numFmtId="168" formatCode="\₹#,##0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"/>
      <family val="0"/>
      <charset val="1"/>
    </font>
    <font>
      <sz val="10"/>
      <color rgb="FF17312B"/>
      <name val="Aptos"/>
      <family val="0"/>
      <charset val="1"/>
    </font>
    <font>
      <b val="true"/>
      <sz val="22"/>
      <color rgb="FFFFFFFF"/>
      <name val="Aptos Display"/>
      <family val="0"/>
      <charset val="1"/>
    </font>
    <font>
      <i val="true"/>
      <sz val="11"/>
      <color rgb="FF61716B"/>
      <name val="Aptos"/>
      <family val="0"/>
      <charset val="1"/>
    </font>
    <font>
      <sz val="11"/>
      <name val="Aptos"/>
      <family val="0"/>
      <charset val="1"/>
    </font>
    <font>
      <b val="true"/>
      <sz val="9"/>
      <color rgb="FF61716B"/>
      <name val="Aptos"/>
      <family val="0"/>
      <charset val="1"/>
    </font>
    <font>
      <b val="true"/>
      <sz val="22"/>
      <color rgb="FF17312B"/>
      <name val="Aptos"/>
      <family val="0"/>
      <charset val="1"/>
    </font>
    <font>
      <b val="true"/>
      <sz val="13"/>
      <color rgb="FF17312B"/>
      <name val="Aptos"/>
      <family val="0"/>
      <charset val="1"/>
    </font>
    <font>
      <sz val="11"/>
      <color rgb="FF17312B"/>
      <name val="Aptos"/>
      <family val="0"/>
      <charset val="1"/>
    </font>
    <font>
      <i val="true"/>
      <sz val="10"/>
      <color rgb="FF805500"/>
      <name val="Aptos"/>
      <family val="0"/>
      <charset val="1"/>
    </font>
    <font>
      <b val="true"/>
      <u val="single"/>
      <sz val="11"/>
      <color rgb="FF176B55"/>
      <name val="Apto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6B55"/>
        <bgColor rgb="FF008080"/>
      </patternFill>
    </fill>
    <fill>
      <patternFill patternType="solid">
        <fgColor rgb="FFF5F7F4"/>
        <bgColor rgb="FFFFFFFF"/>
      </patternFill>
    </fill>
    <fill>
      <patternFill patternType="solid">
        <fgColor rgb="FF17312B"/>
        <bgColor rgb="FF003300"/>
      </patternFill>
    </fill>
    <fill>
      <patternFill patternType="solid">
        <fgColor rgb="FFE5F2EC"/>
        <bgColor rgb="FFF5F7F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76B5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5F7F4"/>
          <bgColor rgb="FF000000"/>
        </patternFill>
      </fill>
    </dxf>
    <dxf>
      <fill>
        <patternFill patternType="solid">
          <fgColor rgb="FF17312B"/>
          <bgColor rgb="FF000000"/>
        </patternFill>
      </fill>
    </dxf>
    <dxf>
      <fill>
        <patternFill patternType="solid">
          <fgColor rgb="FFFCE2DD"/>
          <bgColor rgb="FF000000"/>
        </patternFill>
      </fill>
    </dxf>
    <dxf>
      <fill>
        <patternFill patternType="solid">
          <fgColor rgb="FF9C2F1F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ont>
        <b val="1"/>
        <color rgb="FF9C2F1F"/>
      </font>
      <fill>
        <patternFill>
          <bgColor rgb="FFFCE2DD"/>
        </patternFill>
      </fill>
    </dxf>
    <dxf>
      <fill>
        <patternFill>
          <bgColor rgb="FFFFF0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5500"/>
      <rgbColor rgb="FF800080"/>
      <rgbColor rgb="FF176B55"/>
      <rgbColor rgb="FFC0C0C0"/>
      <rgbColor rgb="FF808080"/>
      <rgbColor rgb="FF9999FF"/>
      <rgbColor rgb="FF993366"/>
      <rgbColor rgb="FFFFF0C2"/>
      <rgbColor rgb="FFE5F2EC"/>
      <rgbColor rgb="FF660066"/>
      <rgbColor rgb="FFFF8080"/>
      <rgbColor rgb="FF0066CC"/>
      <rgbColor rgb="FFD9E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4"/>
      <rgbColor rgb="FFCCFFCC"/>
      <rgbColor rgb="FFFFFF99"/>
      <rgbColor rgb="FF99CCFF"/>
      <rgbColor rgb="FFFF99CC"/>
      <rgbColor rgb="FFCC99FF"/>
      <rgbColor rgb="FFFCE2DD"/>
      <rgbColor rgb="FF3366FF"/>
      <rgbColor rgb="FF33CCCC"/>
      <rgbColor rgb="FF99CC00"/>
      <rgbColor rgb="FFFFCC00"/>
      <rgbColor rgb="FFFF9900"/>
      <rgbColor rgb="FFFF6600"/>
      <rgbColor rgb="FF61716B"/>
      <rgbColor rgb="FF969696"/>
      <rgbColor rgb="FF003366"/>
      <rgbColor rgb="FF339966"/>
      <rgbColor rgb="FF003300"/>
      <rgbColor rgb="FF333300"/>
      <rgbColor rgb="FF9C2F1F"/>
      <rgbColor rgb="FF993366"/>
      <rgbColor rgb="FF333399"/>
      <rgbColor rgb="FF173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6" min="3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9"/>
    <col collapsed="false" customWidth="true" hidden="false" outlineLevel="0" max="10" min="10" style="0" width="21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</row>
    <row r="2" customFormat="false" ht="15" hidden="false" customHeight="false" outlineLevel="0" collapsed="false">
      <c r="B2" s="2" t="s">
        <v>15</v>
      </c>
      <c r="C2" s="2" t="s">
        <v>16</v>
      </c>
      <c r="D2" s="2" t="s">
        <v>17</v>
      </c>
      <c r="E2" s="2" t="n">
        <v>2019</v>
      </c>
      <c r="F2" s="2" t="n">
        <v>40</v>
      </c>
      <c r="G2" s="2" t="s">
        <v>18</v>
      </c>
      <c r="H2" s="2" t="s">
        <v>19</v>
      </c>
      <c r="K2" s="3" t="b">
        <f aca="false">TRUE()</f>
        <v>1</v>
      </c>
    </row>
    <row r="3" customFormat="false" ht="15" hidden="false" customHeight="false" outlineLevel="0" collapsed="false">
      <c r="B3" s="4" t="s">
        <v>20</v>
      </c>
      <c r="C3" s="4" t="s">
        <v>21</v>
      </c>
      <c r="D3" s="4" t="s">
        <v>22</v>
      </c>
      <c r="E3" s="4" t="n">
        <v>2021</v>
      </c>
      <c r="F3" s="4" t="n">
        <v>40</v>
      </c>
      <c r="G3" s="4" t="s">
        <v>23</v>
      </c>
      <c r="H3" s="4" t="s">
        <v>19</v>
      </c>
      <c r="K3" s="5" t="b">
        <f aca="false">TRUE()</f>
        <v>1</v>
      </c>
    </row>
    <row r="4" customFormat="false" ht="15" hidden="false" customHeight="false" outlineLevel="0" collapsed="false">
      <c r="B4" s="2" t="s">
        <v>24</v>
      </c>
      <c r="C4" s="2" t="s">
        <v>25</v>
      </c>
      <c r="D4" s="2" t="s">
        <v>17</v>
      </c>
      <c r="E4" s="2" t="n">
        <v>2017</v>
      </c>
      <c r="F4" s="2" t="n">
        <v>40</v>
      </c>
      <c r="G4" s="2" t="s">
        <v>26</v>
      </c>
      <c r="H4" s="2" t="s">
        <v>19</v>
      </c>
      <c r="K4" s="3" t="b">
        <f aca="false">TRUE()</f>
        <v>1</v>
      </c>
    </row>
    <row r="5" customFormat="false" ht="15" hidden="false" customHeight="false" outlineLevel="0" collapsed="false">
      <c r="B5" s="4" t="s">
        <v>27</v>
      </c>
      <c r="C5" s="4" t="s">
        <v>28</v>
      </c>
      <c r="D5" s="4" t="s">
        <v>17</v>
      </c>
      <c r="E5" s="4" t="n">
        <v>2018</v>
      </c>
      <c r="F5" s="4" t="n">
        <v>40</v>
      </c>
      <c r="G5" s="4" t="s">
        <v>29</v>
      </c>
      <c r="H5" s="4" t="s">
        <v>30</v>
      </c>
      <c r="K5" s="5" t="b">
        <f aca="false">TRUE()</f>
        <v>1</v>
      </c>
    </row>
    <row r="6" customFormat="false" ht="15" hidden="false" customHeight="false" outlineLevel="0" collapsed="false">
      <c r="B6" s="2" t="s">
        <v>31</v>
      </c>
      <c r="C6" s="2" t="s">
        <v>32</v>
      </c>
      <c r="D6" s="2" t="s">
        <v>33</v>
      </c>
      <c r="E6" s="2" t="n">
        <v>2022</v>
      </c>
      <c r="F6" s="2" t="n">
        <v>40</v>
      </c>
      <c r="G6" s="2" t="s">
        <v>34</v>
      </c>
      <c r="H6" s="2" t="s">
        <v>19</v>
      </c>
      <c r="K6" s="3" t="b">
        <f aca="false">TRUE()</f>
        <v>1</v>
      </c>
    </row>
    <row r="7" customFormat="false" ht="15" hidden="false" customHeight="false" outlineLevel="0" collapsed="false">
      <c r="B7" s="4" t="s">
        <v>35</v>
      </c>
      <c r="C7" s="4" t="s">
        <v>36</v>
      </c>
      <c r="D7" s="4" t="s">
        <v>37</v>
      </c>
      <c r="E7" s="4" t="n">
        <v>2016</v>
      </c>
      <c r="F7" s="4" t="n">
        <v>40</v>
      </c>
      <c r="G7" s="4" t="s">
        <v>38</v>
      </c>
      <c r="H7" s="4" t="s">
        <v>19</v>
      </c>
      <c r="K7" s="5" t="b">
        <f aca="false">TRUE()</f>
        <v>1</v>
      </c>
    </row>
    <row r="8" customFormat="false" ht="15" hidden="false" customHeight="false" outlineLevel="0" collapsed="false">
      <c r="B8" s="2" t="s">
        <v>39</v>
      </c>
      <c r="C8" s="2" t="s">
        <v>40</v>
      </c>
      <c r="D8" s="2" t="s">
        <v>33</v>
      </c>
      <c r="E8" s="2" t="n">
        <v>2020</v>
      </c>
      <c r="F8" s="2" t="n">
        <v>40</v>
      </c>
      <c r="G8" s="2" t="s">
        <v>41</v>
      </c>
      <c r="H8" s="2" t="s">
        <v>19</v>
      </c>
      <c r="K8" s="3" t="b">
        <f aca="false">TRUE()</f>
        <v>1</v>
      </c>
    </row>
    <row r="9" customFormat="false" ht="15" hidden="false" customHeight="false" outlineLevel="0" collapsed="false">
      <c r="B9" s="4" t="s">
        <v>42</v>
      </c>
      <c r="C9" s="4" t="s">
        <v>43</v>
      </c>
      <c r="D9" s="4" t="s">
        <v>22</v>
      </c>
      <c r="E9" s="4" t="n">
        <v>2019</v>
      </c>
      <c r="F9" s="4" t="n">
        <v>40</v>
      </c>
      <c r="G9" s="4" t="s">
        <v>44</v>
      </c>
      <c r="H9" s="4" t="s">
        <v>19</v>
      </c>
      <c r="K9" s="5" t="b">
        <f aca="false">TRUE()</f>
        <v>1</v>
      </c>
    </row>
    <row r="10" customFormat="false" ht="15" hidden="false" customHeight="false" outlineLevel="0" collapsed="false">
      <c r="B10" s="2" t="s">
        <v>45</v>
      </c>
      <c r="C10" s="2" t="s">
        <v>46</v>
      </c>
      <c r="D10" s="2" t="s">
        <v>17</v>
      </c>
      <c r="E10" s="2" t="n">
        <v>2018</v>
      </c>
      <c r="F10" s="2" t="n">
        <v>40</v>
      </c>
      <c r="G10" s="2" t="s">
        <v>47</v>
      </c>
      <c r="H10" s="2" t="s">
        <v>19</v>
      </c>
      <c r="K10" s="3" t="b">
        <f aca="false">TRUE()</f>
        <v>1</v>
      </c>
    </row>
    <row r="11" customFormat="false" ht="15" hidden="false" customHeight="false" outlineLevel="0" collapsed="false">
      <c r="B11" s="4" t="s">
        <v>48</v>
      </c>
      <c r="C11" s="4" t="s">
        <v>49</v>
      </c>
      <c r="D11" s="4" t="s">
        <v>37</v>
      </c>
      <c r="E11" s="4" t="n">
        <v>2015</v>
      </c>
      <c r="F11" s="4" t="n">
        <v>40</v>
      </c>
      <c r="G11" s="4" t="s">
        <v>50</v>
      </c>
      <c r="H11" s="4" t="s">
        <v>19</v>
      </c>
      <c r="K11" s="5" t="b">
        <f aca="false">TRUE()</f>
        <v>1</v>
      </c>
    </row>
  </sheetData>
  <autoFilter ref="A1:K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3"/>
  </cols>
  <sheetData>
    <row r="1" customFormat="false" ht="30" hidden="false" customHeight="true" outlineLevel="0" collapsed="false">
      <c r="A1" s="1" t="s">
        <v>0</v>
      </c>
      <c r="B1" s="1" t="s">
        <v>51</v>
      </c>
      <c r="C1" s="1" t="s">
        <v>52</v>
      </c>
      <c r="D1" s="1" t="s">
        <v>53</v>
      </c>
    </row>
    <row r="2" customFormat="false" ht="15" hidden="false" customHeight="false" outlineLevel="0" collapsed="false">
      <c r="B2" s="2" t="s">
        <v>54</v>
      </c>
      <c r="C2" s="2" t="s">
        <v>55</v>
      </c>
    </row>
    <row r="3" customFormat="false" ht="15" hidden="false" customHeight="false" outlineLevel="0" collapsed="false">
      <c r="B3" s="4" t="s">
        <v>56</v>
      </c>
      <c r="C3" s="4" t="s">
        <v>57</v>
      </c>
    </row>
    <row r="4" customFormat="false" ht="15" hidden="false" customHeight="false" outlineLevel="0" collapsed="false">
      <c r="B4" s="2" t="s">
        <v>58</v>
      </c>
      <c r="C4" s="2" t="s">
        <v>59</v>
      </c>
    </row>
    <row r="5" customFormat="false" ht="15" hidden="false" customHeight="false" outlineLevel="0" collapsed="false">
      <c r="B5" s="4" t="s">
        <v>60</v>
      </c>
      <c r="C5" s="4" t="s">
        <v>61</v>
      </c>
      <c r="D5" s="4" t="s">
        <v>62</v>
      </c>
    </row>
    <row r="6" customFormat="false" ht="15" hidden="false" customHeight="false" outlineLevel="0" collapsed="false">
      <c r="B6" s="2" t="s">
        <v>63</v>
      </c>
      <c r="C6" s="2" t="s">
        <v>64</v>
      </c>
    </row>
    <row r="7" customFormat="false" ht="15" hidden="false" customHeight="false" outlineLevel="0" collapsed="false">
      <c r="B7" s="4" t="s">
        <v>65</v>
      </c>
      <c r="C7" s="4" t="s">
        <v>66</v>
      </c>
    </row>
    <row r="8" customFormat="false" ht="15" hidden="false" customHeight="false" outlineLevel="0" collapsed="false">
      <c r="B8" s="2" t="s">
        <v>67</v>
      </c>
      <c r="C8" s="2" t="s">
        <v>68</v>
      </c>
    </row>
    <row r="9" customFormat="false" ht="15" hidden="false" customHeight="false" outlineLevel="0" collapsed="false">
      <c r="B9" s="4" t="s">
        <v>69</v>
      </c>
      <c r="C9" s="4" t="s">
        <v>70</v>
      </c>
    </row>
    <row r="10" customFormat="false" ht="15" hidden="false" customHeight="false" outlineLevel="0" collapsed="false">
      <c r="B10" s="2" t="s">
        <v>71</v>
      </c>
      <c r="C10" s="2" t="s">
        <v>72</v>
      </c>
    </row>
    <row r="11" customFormat="false" ht="15" hidden="false" customHeight="false" outlineLevel="0" collapsed="false">
      <c r="B11" s="4" t="s">
        <v>73</v>
      </c>
      <c r="C11" s="4" t="s">
        <v>74</v>
      </c>
    </row>
  </sheetData>
  <autoFilter ref="A1:D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3"/>
  </cols>
  <sheetData>
    <row r="1" customFormat="false" ht="30" hidden="false" customHeight="true" outlineLevel="0" collapsed="false">
      <c r="A1" s="1" t="s">
        <v>0</v>
      </c>
      <c r="B1" s="1" t="s">
        <v>6</v>
      </c>
      <c r="C1" s="1" t="s">
        <v>51</v>
      </c>
      <c r="D1" s="1" t="s">
        <v>75</v>
      </c>
      <c r="E1" s="1" t="s">
        <v>76</v>
      </c>
    </row>
    <row r="2" customFormat="false" ht="15" hidden="false" customHeight="false" outlineLevel="0" collapsed="false">
      <c r="B2" s="2" t="s">
        <v>15</v>
      </c>
      <c r="C2" s="2" t="s">
        <v>54</v>
      </c>
      <c r="D2" s="6" t="n">
        <v>45809</v>
      </c>
    </row>
    <row r="3" customFormat="false" ht="15" hidden="false" customHeight="false" outlineLevel="0" collapsed="false">
      <c r="B3" s="4" t="s">
        <v>20</v>
      </c>
      <c r="C3" s="4" t="s">
        <v>56</v>
      </c>
      <c r="D3" s="7" t="n">
        <v>45809</v>
      </c>
    </row>
    <row r="4" customFormat="false" ht="15" hidden="false" customHeight="false" outlineLevel="0" collapsed="false">
      <c r="B4" s="2" t="s">
        <v>24</v>
      </c>
      <c r="C4" s="2" t="s">
        <v>58</v>
      </c>
      <c r="D4" s="6" t="n">
        <v>45809</v>
      </c>
    </row>
    <row r="5" customFormat="false" ht="15" hidden="false" customHeight="false" outlineLevel="0" collapsed="false">
      <c r="B5" s="4" t="s">
        <v>27</v>
      </c>
      <c r="C5" s="4" t="s">
        <v>60</v>
      </c>
      <c r="D5" s="7" t="n">
        <v>45809</v>
      </c>
    </row>
    <row r="6" customFormat="false" ht="15" hidden="false" customHeight="false" outlineLevel="0" collapsed="false">
      <c r="B6" s="2" t="s">
        <v>31</v>
      </c>
      <c r="C6" s="2" t="s">
        <v>63</v>
      </c>
      <c r="D6" s="6" t="n">
        <v>45809</v>
      </c>
    </row>
    <row r="7" customFormat="false" ht="15" hidden="false" customHeight="false" outlineLevel="0" collapsed="false">
      <c r="B7" s="4" t="s">
        <v>35</v>
      </c>
      <c r="C7" s="4" t="s">
        <v>65</v>
      </c>
      <c r="D7" s="7" t="n">
        <v>45809</v>
      </c>
    </row>
    <row r="8" customFormat="false" ht="15" hidden="false" customHeight="false" outlineLevel="0" collapsed="false">
      <c r="B8" s="2" t="s">
        <v>39</v>
      </c>
      <c r="C8" s="2" t="s">
        <v>67</v>
      </c>
      <c r="D8" s="6" t="n">
        <v>45809</v>
      </c>
    </row>
    <row r="9" customFormat="false" ht="15" hidden="false" customHeight="false" outlineLevel="0" collapsed="false">
      <c r="B9" s="4" t="s">
        <v>42</v>
      </c>
      <c r="C9" s="4" t="s">
        <v>69</v>
      </c>
      <c r="D9" s="7" t="n">
        <v>45809</v>
      </c>
    </row>
    <row r="10" customFormat="false" ht="15" hidden="false" customHeight="false" outlineLevel="0" collapsed="false">
      <c r="B10" s="2" t="s">
        <v>45</v>
      </c>
      <c r="C10" s="2" t="s">
        <v>71</v>
      </c>
      <c r="D10" s="6" t="n">
        <v>45809</v>
      </c>
    </row>
    <row r="11" customFormat="false" ht="15" hidden="false" customHeight="false" outlineLevel="0" collapsed="false">
      <c r="B11" s="4" t="s">
        <v>48</v>
      </c>
      <c r="C11" s="4" t="s">
        <v>73</v>
      </c>
      <c r="D11" s="7" t="n">
        <v>45809</v>
      </c>
    </row>
  </sheetData>
  <autoFilter ref="A1:E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3" min="11" style="0" width="13"/>
    <col collapsed="false" customWidth="true" hidden="false" outlineLevel="0" max="14" min="14" style="0" width="14"/>
    <col collapsed="false" customWidth="true" hidden="false" outlineLevel="0" max="16" min="15" style="0" width="13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5"/>
    <col collapsed="false" customWidth="true" hidden="false" outlineLevel="0" max="21" min="21" style="0" width="16"/>
    <col collapsed="false" customWidth="true" hidden="false" outlineLevel="0" max="22" min="22" style="0" width="20"/>
    <col collapsed="false" customWidth="true" hidden="false" outlineLevel="0" max="24" min="23" style="0" width="13"/>
  </cols>
  <sheetData>
    <row r="1" customFormat="false" ht="30" hidden="false" customHeight="true" outlineLevel="0" collapsed="false">
      <c r="A1" s="1" t="s">
        <v>0</v>
      </c>
      <c r="B1" s="1" t="s">
        <v>77</v>
      </c>
      <c r="C1" s="1" t="s">
        <v>6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</row>
    <row r="2" customFormat="false" ht="15" hidden="false" customHeight="false" outlineLevel="0" collapsed="false">
      <c r="B2" s="2" t="s">
        <v>99</v>
      </c>
      <c r="C2" s="2" t="s">
        <v>35</v>
      </c>
      <c r="D2" s="2" t="s">
        <v>100</v>
      </c>
      <c r="E2" s="6" t="n">
        <v>45963</v>
      </c>
      <c r="F2" s="6" t="n">
        <v>45963</v>
      </c>
      <c r="G2" s="2" t="n">
        <v>0</v>
      </c>
      <c r="H2" s="2" t="n">
        <v>151000</v>
      </c>
      <c r="I2" s="2" t="s">
        <v>101</v>
      </c>
      <c r="J2" s="2" t="s">
        <v>102</v>
      </c>
      <c r="K2" s="2" t="s">
        <v>103</v>
      </c>
      <c r="L2" s="2" t="s">
        <v>104</v>
      </c>
      <c r="O2" s="2" t="n">
        <v>13900</v>
      </c>
      <c r="R2" s="2" t="s">
        <v>65</v>
      </c>
      <c r="S2" s="3" t="b">
        <f aca="false">FALSE()</f>
        <v>0</v>
      </c>
      <c r="T2" s="3" t="b">
        <f aca="false">FALSE()</f>
        <v>0</v>
      </c>
      <c r="U2" s="2" t="s">
        <v>105</v>
      </c>
      <c r="W2" s="2" t="s">
        <v>106</v>
      </c>
      <c r="X2" s="2" t="s">
        <v>107</v>
      </c>
    </row>
    <row r="3" customFormat="false" ht="15" hidden="false" customHeight="false" outlineLevel="0" collapsed="false">
      <c r="B3" s="4" t="s">
        <v>108</v>
      </c>
      <c r="C3" s="4" t="s">
        <v>27</v>
      </c>
      <c r="D3" s="4" t="s">
        <v>109</v>
      </c>
      <c r="E3" s="7" t="n">
        <v>45989</v>
      </c>
      <c r="F3" s="7" t="n">
        <v>45990</v>
      </c>
      <c r="G3" s="4" t="n">
        <v>1</v>
      </c>
      <c r="H3" s="4" t="n">
        <v>107600</v>
      </c>
      <c r="I3" s="4" t="s">
        <v>110</v>
      </c>
      <c r="J3" s="4" t="s">
        <v>111</v>
      </c>
      <c r="K3" s="4" t="s">
        <v>112</v>
      </c>
      <c r="L3" s="4" t="s">
        <v>113</v>
      </c>
      <c r="O3" s="4" t="n">
        <v>3200</v>
      </c>
      <c r="R3" s="4" t="s">
        <v>60</v>
      </c>
      <c r="S3" s="5" t="b">
        <f aca="false">FALSE()</f>
        <v>0</v>
      </c>
      <c r="T3" s="5" t="b">
        <f aca="false">FALSE()</f>
        <v>0</v>
      </c>
      <c r="U3" s="4" t="s">
        <v>105</v>
      </c>
      <c r="W3" s="4" t="s">
        <v>106</v>
      </c>
      <c r="X3" s="4" t="s">
        <v>114</v>
      </c>
    </row>
    <row r="4" customFormat="false" ht="15" hidden="false" customHeight="false" outlineLevel="0" collapsed="false">
      <c r="B4" s="2" t="s">
        <v>115</v>
      </c>
      <c r="C4" s="2" t="s">
        <v>45</v>
      </c>
      <c r="D4" s="2" t="s">
        <v>100</v>
      </c>
      <c r="E4" s="6" t="n">
        <v>46009</v>
      </c>
      <c r="F4" s="6" t="n">
        <v>46009</v>
      </c>
      <c r="G4" s="2" t="n">
        <v>0</v>
      </c>
      <c r="H4" s="2" t="n">
        <v>114900</v>
      </c>
      <c r="I4" s="2" t="s">
        <v>116</v>
      </c>
      <c r="J4" s="2" t="s">
        <v>117</v>
      </c>
      <c r="L4" s="2" t="s">
        <v>118</v>
      </c>
      <c r="O4" s="2" t="n">
        <v>15800</v>
      </c>
      <c r="R4" s="2" t="s">
        <v>71</v>
      </c>
      <c r="S4" s="3" t="b">
        <f aca="false">FALSE()</f>
        <v>0</v>
      </c>
      <c r="T4" s="3" t="b">
        <f aca="false">FALSE()</f>
        <v>0</v>
      </c>
      <c r="U4" s="2" t="s">
        <v>105</v>
      </c>
      <c r="W4" s="2" t="s">
        <v>106</v>
      </c>
      <c r="X4" s="2" t="s">
        <v>119</v>
      </c>
    </row>
    <row r="5" customFormat="false" ht="15" hidden="false" customHeight="false" outlineLevel="0" collapsed="false">
      <c r="B5" s="4" t="s">
        <v>120</v>
      </c>
      <c r="C5" s="4" t="s">
        <v>27</v>
      </c>
      <c r="D5" s="4" t="s">
        <v>100</v>
      </c>
      <c r="E5" s="7" t="n">
        <v>46041</v>
      </c>
      <c r="F5" s="7" t="n">
        <v>46042</v>
      </c>
      <c r="G5" s="4" t="n">
        <v>1</v>
      </c>
      <c r="H5" s="4" t="n">
        <v>110180</v>
      </c>
      <c r="I5" s="4" t="s">
        <v>121</v>
      </c>
      <c r="J5" s="4" t="s">
        <v>122</v>
      </c>
      <c r="K5" s="4" t="s">
        <v>123</v>
      </c>
      <c r="L5" s="4" t="s">
        <v>113</v>
      </c>
      <c r="O5" s="4" t="n">
        <v>8900</v>
      </c>
      <c r="R5" s="4" t="s">
        <v>60</v>
      </c>
      <c r="S5" s="5" t="b">
        <f aca="false">FALSE()</f>
        <v>0</v>
      </c>
      <c r="T5" s="5" t="b">
        <f aca="false">FALSE()</f>
        <v>0</v>
      </c>
      <c r="U5" s="4" t="s">
        <v>105</v>
      </c>
      <c r="W5" s="4" t="s">
        <v>106</v>
      </c>
      <c r="X5" s="4" t="s">
        <v>124</v>
      </c>
    </row>
    <row r="6" customFormat="false" ht="15" hidden="false" customHeight="false" outlineLevel="0" collapsed="false">
      <c r="B6" s="2" t="s">
        <v>125</v>
      </c>
      <c r="C6" s="2" t="s">
        <v>24</v>
      </c>
      <c r="D6" s="2" t="s">
        <v>100</v>
      </c>
      <c r="E6" s="6" t="n">
        <v>46064</v>
      </c>
      <c r="F6" s="6" t="n">
        <v>46065</v>
      </c>
      <c r="G6" s="2" t="n">
        <v>1</v>
      </c>
      <c r="H6" s="2" t="n">
        <v>128400</v>
      </c>
      <c r="I6" s="2" t="s">
        <v>126</v>
      </c>
      <c r="J6" s="2" t="s">
        <v>127</v>
      </c>
      <c r="K6" s="2" t="s">
        <v>128</v>
      </c>
      <c r="L6" s="2" t="s">
        <v>113</v>
      </c>
      <c r="O6" s="2" t="n">
        <v>12600</v>
      </c>
      <c r="R6" s="2" t="s">
        <v>58</v>
      </c>
      <c r="S6" s="3" t="b">
        <f aca="false">FALSE()</f>
        <v>0</v>
      </c>
      <c r="T6" s="3" t="b">
        <f aca="false">FALSE()</f>
        <v>0</v>
      </c>
      <c r="U6" s="2" t="s">
        <v>105</v>
      </c>
      <c r="W6" s="2" t="s">
        <v>106</v>
      </c>
      <c r="X6" s="2" t="s">
        <v>129</v>
      </c>
    </row>
    <row r="7" customFormat="false" ht="15" hidden="false" customHeight="false" outlineLevel="0" collapsed="false">
      <c r="B7" s="4" t="s">
        <v>130</v>
      </c>
      <c r="C7" s="4" t="s">
        <v>27</v>
      </c>
      <c r="D7" s="4" t="s">
        <v>131</v>
      </c>
      <c r="E7" s="7" t="n">
        <v>46065</v>
      </c>
      <c r="F7" s="7" t="n">
        <v>46065</v>
      </c>
      <c r="G7" s="4" t="n">
        <v>0</v>
      </c>
      <c r="H7" s="4" t="n">
        <v>111200</v>
      </c>
      <c r="I7" s="4" t="s">
        <v>110</v>
      </c>
      <c r="J7" s="4" t="s">
        <v>132</v>
      </c>
      <c r="K7" s="4" t="s">
        <v>133</v>
      </c>
      <c r="L7" s="4" t="s">
        <v>134</v>
      </c>
      <c r="O7" s="4" t="n">
        <v>9400</v>
      </c>
      <c r="R7" s="4" t="s">
        <v>60</v>
      </c>
      <c r="S7" s="5" t="b">
        <f aca="false">FALSE()</f>
        <v>0</v>
      </c>
      <c r="T7" s="5" t="b">
        <f aca="false">FALSE()</f>
        <v>0</v>
      </c>
      <c r="U7" s="4" t="s">
        <v>105</v>
      </c>
      <c r="W7" s="4" t="s">
        <v>106</v>
      </c>
      <c r="X7" s="4" t="s">
        <v>129</v>
      </c>
    </row>
    <row r="8" customFormat="false" ht="15" hidden="false" customHeight="false" outlineLevel="0" collapsed="false">
      <c r="B8" s="2" t="s">
        <v>135</v>
      </c>
      <c r="C8" s="2" t="s">
        <v>27</v>
      </c>
      <c r="D8" s="2" t="s">
        <v>136</v>
      </c>
      <c r="E8" s="6" t="n">
        <v>46083</v>
      </c>
      <c r="F8" s="6" t="n">
        <v>46083</v>
      </c>
      <c r="G8" s="2" t="n">
        <v>0</v>
      </c>
      <c r="H8" s="2" t="n">
        <v>111900</v>
      </c>
      <c r="I8" s="2" t="s">
        <v>121</v>
      </c>
      <c r="J8" s="2" t="s">
        <v>137</v>
      </c>
      <c r="K8" s="2" t="s">
        <v>138</v>
      </c>
      <c r="L8" s="2" t="s">
        <v>139</v>
      </c>
      <c r="O8" s="2" t="n">
        <v>1500</v>
      </c>
      <c r="R8" s="2" t="s">
        <v>60</v>
      </c>
      <c r="S8" s="3" t="b">
        <f aca="false">FALSE()</f>
        <v>0</v>
      </c>
      <c r="T8" s="3" t="b">
        <f aca="false">FALSE()</f>
        <v>0</v>
      </c>
      <c r="U8" s="2" t="s">
        <v>105</v>
      </c>
      <c r="W8" s="2" t="s">
        <v>106</v>
      </c>
      <c r="X8" s="2" t="s">
        <v>140</v>
      </c>
    </row>
    <row r="9" customFormat="false" ht="15" hidden="false" customHeight="false" outlineLevel="0" collapsed="false">
      <c r="B9" s="4" t="s">
        <v>141</v>
      </c>
      <c r="C9" s="4" t="s">
        <v>35</v>
      </c>
      <c r="D9" s="4" t="s">
        <v>131</v>
      </c>
      <c r="E9" s="7" t="n">
        <v>46090</v>
      </c>
      <c r="F9" s="7" t="n">
        <v>46090</v>
      </c>
      <c r="G9" s="4" t="n">
        <v>0</v>
      </c>
      <c r="H9" s="4" t="n">
        <v>155400</v>
      </c>
      <c r="I9" s="4" t="s">
        <v>110</v>
      </c>
      <c r="J9" s="4" t="s">
        <v>132</v>
      </c>
      <c r="K9" s="4" t="s">
        <v>133</v>
      </c>
      <c r="L9" s="4" t="s">
        <v>134</v>
      </c>
      <c r="O9" s="4" t="n">
        <v>9100</v>
      </c>
      <c r="R9" s="4" t="s">
        <v>65</v>
      </c>
      <c r="S9" s="5" t="b">
        <f aca="false">FALSE()</f>
        <v>0</v>
      </c>
      <c r="T9" s="5" t="b">
        <f aca="false">FALSE()</f>
        <v>0</v>
      </c>
      <c r="U9" s="4" t="s">
        <v>105</v>
      </c>
      <c r="W9" s="4" t="s">
        <v>106</v>
      </c>
      <c r="X9" s="4" t="s">
        <v>142</v>
      </c>
    </row>
    <row r="10" customFormat="false" ht="15" hidden="false" customHeight="false" outlineLevel="0" collapsed="false">
      <c r="B10" s="2" t="s">
        <v>143</v>
      </c>
      <c r="C10" s="2" t="s">
        <v>45</v>
      </c>
      <c r="D10" s="2" t="s">
        <v>131</v>
      </c>
      <c r="E10" s="6" t="n">
        <v>46122</v>
      </c>
      <c r="F10" s="6" t="n">
        <v>46122</v>
      </c>
      <c r="G10" s="2" t="n">
        <v>0</v>
      </c>
      <c r="H10" s="2" t="n">
        <v>119500</v>
      </c>
      <c r="I10" s="2" t="s">
        <v>110</v>
      </c>
      <c r="J10" s="2" t="s">
        <v>132</v>
      </c>
      <c r="K10" s="2" t="s">
        <v>133</v>
      </c>
      <c r="L10" s="2" t="s">
        <v>134</v>
      </c>
      <c r="O10" s="2" t="n">
        <v>9300</v>
      </c>
      <c r="R10" s="2" t="s">
        <v>71</v>
      </c>
      <c r="S10" s="3" t="b">
        <f aca="false">FALSE()</f>
        <v>0</v>
      </c>
      <c r="T10" s="3" t="b">
        <f aca="false">FALSE()</f>
        <v>0</v>
      </c>
      <c r="U10" s="2" t="s">
        <v>105</v>
      </c>
      <c r="W10" s="2" t="s">
        <v>106</v>
      </c>
      <c r="X10" s="2" t="s">
        <v>144</v>
      </c>
    </row>
    <row r="11" customFormat="false" ht="15" hidden="false" customHeight="false" outlineLevel="0" collapsed="false">
      <c r="B11" s="4" t="s">
        <v>145</v>
      </c>
      <c r="C11" s="4" t="s">
        <v>27</v>
      </c>
      <c r="D11" s="4" t="s">
        <v>100</v>
      </c>
      <c r="E11" s="7" t="n">
        <v>46127</v>
      </c>
      <c r="F11" s="7" t="n">
        <v>46129</v>
      </c>
      <c r="G11" s="4" t="n">
        <v>2</v>
      </c>
      <c r="H11" s="4" t="n">
        <v>114280</v>
      </c>
      <c r="I11" s="4" t="s">
        <v>121</v>
      </c>
      <c r="J11" s="4" t="s">
        <v>146</v>
      </c>
      <c r="K11" s="4" t="s">
        <v>123</v>
      </c>
      <c r="L11" s="4" t="s">
        <v>113</v>
      </c>
      <c r="O11" s="4" t="n">
        <v>11300</v>
      </c>
      <c r="R11" s="4" t="s">
        <v>60</v>
      </c>
      <c r="S11" s="5" t="b">
        <f aca="false">FALSE()</f>
        <v>0</v>
      </c>
      <c r="T11" s="5" t="b">
        <f aca="false">FALSE()</f>
        <v>0</v>
      </c>
      <c r="U11" s="4" t="s">
        <v>105</v>
      </c>
      <c r="W11" s="4" t="s">
        <v>106</v>
      </c>
      <c r="X11" s="4" t="s">
        <v>147</v>
      </c>
    </row>
    <row r="12" customFormat="false" ht="15" hidden="false" customHeight="false" outlineLevel="0" collapsed="false">
      <c r="B12" s="2" t="s">
        <v>148</v>
      </c>
      <c r="C12" s="2" t="s">
        <v>45</v>
      </c>
      <c r="D12" s="2" t="s">
        <v>100</v>
      </c>
      <c r="E12" s="6" t="n">
        <v>46156</v>
      </c>
      <c r="F12" s="6" t="n">
        <v>46156</v>
      </c>
      <c r="G12" s="2" t="n">
        <v>0</v>
      </c>
      <c r="H12" s="2" t="n">
        <v>120300</v>
      </c>
      <c r="I12" s="2" t="s">
        <v>116</v>
      </c>
      <c r="J12" s="2" t="s">
        <v>149</v>
      </c>
      <c r="K12" s="2" t="s">
        <v>150</v>
      </c>
      <c r="L12" s="2" t="s">
        <v>118</v>
      </c>
      <c r="O12" s="2" t="n">
        <v>16200</v>
      </c>
      <c r="R12" s="2" t="s">
        <v>71</v>
      </c>
      <c r="S12" s="3" t="b">
        <f aca="false">FALSE()</f>
        <v>0</v>
      </c>
      <c r="T12" s="3" t="b">
        <f aca="false">FALSE()</f>
        <v>0</v>
      </c>
      <c r="U12" s="2" t="s">
        <v>105</v>
      </c>
      <c r="W12" s="2" t="s">
        <v>106</v>
      </c>
      <c r="X12" s="2" t="s">
        <v>151</v>
      </c>
    </row>
    <row r="13" customFormat="false" ht="15" hidden="false" customHeight="false" outlineLevel="0" collapsed="false">
      <c r="B13" s="4" t="s">
        <v>152</v>
      </c>
      <c r="C13" s="4" t="s">
        <v>35</v>
      </c>
      <c r="D13" s="4" t="s">
        <v>100</v>
      </c>
      <c r="E13" s="7" t="n">
        <v>46162</v>
      </c>
      <c r="F13" s="7" t="n">
        <v>46162</v>
      </c>
      <c r="G13" s="4" t="n">
        <v>0</v>
      </c>
      <c r="H13" s="4" t="n">
        <v>158200</v>
      </c>
      <c r="I13" s="4" t="s">
        <v>101</v>
      </c>
      <c r="J13" s="4" t="s">
        <v>153</v>
      </c>
      <c r="K13" s="4" t="s">
        <v>154</v>
      </c>
      <c r="L13" s="4" t="s">
        <v>104</v>
      </c>
      <c r="O13" s="4" t="n">
        <v>14200</v>
      </c>
      <c r="R13" s="4" t="s">
        <v>65</v>
      </c>
      <c r="S13" s="5" t="b">
        <f aca="false">FALSE()</f>
        <v>0</v>
      </c>
      <c r="T13" s="5" t="b">
        <f aca="false">FALSE()</f>
        <v>0</v>
      </c>
      <c r="U13" s="4" t="s">
        <v>105</v>
      </c>
      <c r="W13" s="4" t="s">
        <v>106</v>
      </c>
      <c r="X13" s="4" t="s">
        <v>155</v>
      </c>
    </row>
    <row r="14" customFormat="false" ht="15" hidden="false" customHeight="false" outlineLevel="0" collapsed="false">
      <c r="B14" s="2" t="s">
        <v>156</v>
      </c>
      <c r="C14" s="2" t="s">
        <v>27</v>
      </c>
      <c r="D14" s="2" t="s">
        <v>100</v>
      </c>
      <c r="E14" s="6" t="n">
        <v>46176</v>
      </c>
      <c r="F14" s="6" t="n">
        <v>46179</v>
      </c>
      <c r="G14" s="2" t="n">
        <v>3</v>
      </c>
      <c r="H14" s="2" t="n">
        <v>115050</v>
      </c>
      <c r="I14" s="2" t="s">
        <v>157</v>
      </c>
      <c r="J14" s="2" t="s">
        <v>158</v>
      </c>
      <c r="K14" s="2" t="s">
        <v>159</v>
      </c>
      <c r="L14" s="2" t="s">
        <v>160</v>
      </c>
      <c r="O14" s="2" t="n">
        <v>22500</v>
      </c>
      <c r="R14" s="2" t="s">
        <v>60</v>
      </c>
      <c r="S14" s="3" t="b">
        <f aca="false">FALSE()</f>
        <v>0</v>
      </c>
      <c r="T14" s="3" t="b">
        <f aca="false">FALSE()</f>
        <v>0</v>
      </c>
      <c r="U14" s="2" t="s">
        <v>105</v>
      </c>
      <c r="W14" s="2" t="s">
        <v>106</v>
      </c>
      <c r="X14" s="2" t="s">
        <v>161</v>
      </c>
    </row>
    <row r="15" customFormat="false" ht="15" hidden="false" customHeight="false" outlineLevel="0" collapsed="false">
      <c r="B15" s="4" t="s">
        <v>162</v>
      </c>
      <c r="C15" s="4" t="s">
        <v>27</v>
      </c>
      <c r="D15" s="4" t="s">
        <v>131</v>
      </c>
      <c r="E15" s="7" t="n">
        <v>46225</v>
      </c>
      <c r="F15" s="7" t="n">
        <v>46225</v>
      </c>
      <c r="G15" s="4" t="n">
        <v>0</v>
      </c>
      <c r="H15" s="4" t="n">
        <v>115900</v>
      </c>
      <c r="I15" s="4" t="s">
        <v>110</v>
      </c>
      <c r="J15" s="4" t="s">
        <v>132</v>
      </c>
      <c r="K15" s="4" t="s">
        <v>163</v>
      </c>
      <c r="L15" s="4" t="s">
        <v>134</v>
      </c>
      <c r="O15" s="4" t="n">
        <v>9800</v>
      </c>
      <c r="R15" s="4" t="s">
        <v>60</v>
      </c>
      <c r="S15" s="5" t="b">
        <f aca="false">FALSE()</f>
        <v>0</v>
      </c>
      <c r="T15" s="5" t="b">
        <f aca="false">FALSE()</f>
        <v>0</v>
      </c>
      <c r="U15" s="4" t="s">
        <v>105</v>
      </c>
      <c r="W15" s="4" t="s">
        <v>106</v>
      </c>
      <c r="X15" s="4" t="s">
        <v>164</v>
      </c>
    </row>
    <row r="16" customFormat="false" ht="15" hidden="false" customHeight="false" outlineLevel="0" collapsed="false">
      <c r="B16" s="2" t="s">
        <v>165</v>
      </c>
      <c r="C16" s="2" t="s">
        <v>24</v>
      </c>
      <c r="D16" s="2" t="s">
        <v>131</v>
      </c>
      <c r="E16" s="6" t="n">
        <v>46231</v>
      </c>
      <c r="F16" s="6" t="n">
        <v>46231</v>
      </c>
      <c r="G16" s="2" t="n">
        <v>0</v>
      </c>
      <c r="H16" s="2" t="n">
        <v>131680</v>
      </c>
      <c r="I16" s="2" t="s">
        <v>110</v>
      </c>
      <c r="J16" s="2" t="s">
        <v>132</v>
      </c>
      <c r="K16" s="2" t="s">
        <v>133</v>
      </c>
      <c r="L16" s="2" t="s">
        <v>134</v>
      </c>
      <c r="O16" s="2" t="n">
        <v>9200</v>
      </c>
      <c r="R16" s="2" t="s">
        <v>58</v>
      </c>
      <c r="S16" s="3" t="b">
        <f aca="false">FALSE()</f>
        <v>0</v>
      </c>
      <c r="T16" s="3" t="b">
        <f aca="false">FALSE()</f>
        <v>0</v>
      </c>
      <c r="U16" s="2" t="s">
        <v>105</v>
      </c>
      <c r="W16" s="2" t="s">
        <v>106</v>
      </c>
      <c r="X16" s="2" t="s">
        <v>166</v>
      </c>
    </row>
    <row r="17" customFormat="false" ht="15" hidden="false" customHeight="false" outlineLevel="0" collapsed="false">
      <c r="B17" s="4" t="s">
        <v>167</v>
      </c>
      <c r="C17" s="4" t="s">
        <v>39</v>
      </c>
      <c r="D17" s="4" t="s">
        <v>131</v>
      </c>
      <c r="E17" s="7" t="n">
        <v>46234</v>
      </c>
      <c r="F17" s="7" t="n">
        <v>46234</v>
      </c>
      <c r="G17" s="4" t="n">
        <v>0</v>
      </c>
      <c r="H17" s="4" t="n">
        <v>64120</v>
      </c>
      <c r="I17" s="4" t="s">
        <v>110</v>
      </c>
      <c r="J17" s="4" t="s">
        <v>132</v>
      </c>
      <c r="K17" s="4" t="s">
        <v>133</v>
      </c>
      <c r="L17" s="4" t="s">
        <v>134</v>
      </c>
      <c r="O17" s="4" t="n">
        <v>9200</v>
      </c>
      <c r="R17" s="4" t="s">
        <v>67</v>
      </c>
      <c r="S17" s="5" t="b">
        <f aca="false">FALSE()</f>
        <v>0</v>
      </c>
      <c r="T17" s="5" t="b">
        <f aca="false">FALSE()</f>
        <v>0</v>
      </c>
      <c r="U17" s="4" t="s">
        <v>105</v>
      </c>
      <c r="W17" s="4" t="s">
        <v>106</v>
      </c>
      <c r="X17" s="4" t="s">
        <v>168</v>
      </c>
    </row>
    <row r="18" customFormat="false" ht="15" hidden="false" customHeight="false" outlineLevel="0" collapsed="false">
      <c r="B18" s="2" t="s">
        <v>169</v>
      </c>
      <c r="C18" s="2" t="s">
        <v>48</v>
      </c>
      <c r="D18" s="2" t="s">
        <v>131</v>
      </c>
      <c r="E18" s="6" t="n">
        <v>46244</v>
      </c>
      <c r="F18" s="6" t="n">
        <v>46244</v>
      </c>
      <c r="G18" s="2" t="n">
        <v>0</v>
      </c>
      <c r="H18" s="2" t="n">
        <v>180500</v>
      </c>
      <c r="I18" s="2" t="s">
        <v>110</v>
      </c>
      <c r="J18" s="2" t="s">
        <v>132</v>
      </c>
      <c r="K18" s="2" t="s">
        <v>133</v>
      </c>
      <c r="L18" s="2" t="s">
        <v>134</v>
      </c>
      <c r="O18" s="2" t="n">
        <v>9200</v>
      </c>
      <c r="R18" s="2" t="s">
        <v>73</v>
      </c>
      <c r="S18" s="3" t="b">
        <f aca="false">FALSE()</f>
        <v>0</v>
      </c>
      <c r="T18" s="3" t="b">
        <f aca="false">FALSE()</f>
        <v>0</v>
      </c>
      <c r="U18" s="2" t="s">
        <v>105</v>
      </c>
      <c r="W18" s="2" t="s">
        <v>106</v>
      </c>
      <c r="X18" s="2" t="s">
        <v>170</v>
      </c>
    </row>
    <row r="19" customFormat="false" ht="15" hidden="false" customHeight="false" outlineLevel="0" collapsed="false">
      <c r="B19" s="4" t="s">
        <v>171</v>
      </c>
      <c r="C19" s="4" t="s">
        <v>35</v>
      </c>
      <c r="D19" s="4" t="s">
        <v>131</v>
      </c>
      <c r="E19" s="7" t="n">
        <v>46254</v>
      </c>
      <c r="F19" s="7" t="n">
        <v>46254</v>
      </c>
      <c r="G19" s="4" t="n">
        <v>0</v>
      </c>
      <c r="H19" s="4" t="n">
        <v>162300</v>
      </c>
      <c r="I19" s="4" t="s">
        <v>110</v>
      </c>
      <c r="J19" s="4" t="s">
        <v>132</v>
      </c>
      <c r="K19" s="4" t="s">
        <v>172</v>
      </c>
      <c r="L19" s="4" t="s">
        <v>134</v>
      </c>
      <c r="O19" s="4" t="n">
        <v>9000</v>
      </c>
      <c r="R19" s="4" t="s">
        <v>65</v>
      </c>
      <c r="S19" s="5" t="b">
        <f aca="false">FALSE()</f>
        <v>0</v>
      </c>
      <c r="T19" s="5" t="b">
        <f aca="false">FALSE()</f>
        <v>0</v>
      </c>
      <c r="U19" s="4" t="s">
        <v>105</v>
      </c>
      <c r="W19" s="4" t="s">
        <v>106</v>
      </c>
      <c r="X19" s="4" t="s">
        <v>173</v>
      </c>
    </row>
    <row r="20" customFormat="false" ht="15" hidden="false" customHeight="false" outlineLevel="0" collapsed="false">
      <c r="B20" s="2" t="s">
        <v>174</v>
      </c>
      <c r="C20" s="2" t="s">
        <v>45</v>
      </c>
      <c r="D20" s="2" t="s">
        <v>131</v>
      </c>
      <c r="E20" s="6" t="n">
        <v>46262</v>
      </c>
      <c r="F20" s="6" t="n">
        <v>46262</v>
      </c>
      <c r="G20" s="2" t="n">
        <v>0</v>
      </c>
      <c r="H20" s="2" t="n">
        <v>125100</v>
      </c>
      <c r="I20" s="2" t="s">
        <v>110</v>
      </c>
      <c r="J20" s="2" t="s">
        <v>132</v>
      </c>
      <c r="K20" s="2" t="s">
        <v>133</v>
      </c>
      <c r="L20" s="2" t="s">
        <v>134</v>
      </c>
      <c r="O20" s="2" t="n">
        <v>9300</v>
      </c>
      <c r="R20" s="2" t="s">
        <v>71</v>
      </c>
      <c r="S20" s="3" t="b">
        <f aca="false">FALSE()</f>
        <v>0</v>
      </c>
      <c r="T20" s="3" t="b">
        <f aca="false">FALSE()</f>
        <v>0</v>
      </c>
      <c r="U20" s="2" t="s">
        <v>105</v>
      </c>
      <c r="W20" s="2" t="s">
        <v>106</v>
      </c>
      <c r="X20" s="2" t="s">
        <v>175</v>
      </c>
    </row>
    <row r="21" customFormat="false" ht="15" hidden="false" customHeight="false" outlineLevel="0" collapsed="false">
      <c r="B21" s="4" t="s">
        <v>176</v>
      </c>
      <c r="C21" s="4" t="s">
        <v>20</v>
      </c>
      <c r="D21" s="4" t="s">
        <v>131</v>
      </c>
      <c r="E21" s="7" t="n">
        <v>46264</v>
      </c>
      <c r="F21" s="7" t="n">
        <v>46264</v>
      </c>
      <c r="G21" s="4" t="n">
        <v>0</v>
      </c>
      <c r="H21" s="4" t="n">
        <v>49780</v>
      </c>
      <c r="I21" s="4" t="s">
        <v>110</v>
      </c>
      <c r="J21" s="4" t="s">
        <v>132</v>
      </c>
      <c r="K21" s="4" t="s">
        <v>133</v>
      </c>
      <c r="L21" s="4" t="s">
        <v>134</v>
      </c>
      <c r="O21" s="4" t="n">
        <v>9200</v>
      </c>
      <c r="R21" s="4" t="s">
        <v>56</v>
      </c>
      <c r="S21" s="5" t="b">
        <f aca="false">FALSE()</f>
        <v>0</v>
      </c>
      <c r="T21" s="5" t="b">
        <f aca="false">FALSE()</f>
        <v>0</v>
      </c>
      <c r="U21" s="4" t="s">
        <v>105</v>
      </c>
      <c r="W21" s="4" t="s">
        <v>106</v>
      </c>
      <c r="X21" s="4" t="s">
        <v>177</v>
      </c>
    </row>
    <row r="22" customFormat="false" ht="15" hidden="false" customHeight="false" outlineLevel="0" collapsed="false">
      <c r="B22" s="2" t="s">
        <v>178</v>
      </c>
      <c r="C22" s="2" t="s">
        <v>45</v>
      </c>
      <c r="D22" s="2" t="s">
        <v>100</v>
      </c>
      <c r="E22" s="6" t="n">
        <v>46270</v>
      </c>
      <c r="F22" s="6" t="n">
        <v>46270</v>
      </c>
      <c r="G22" s="2" t="n">
        <v>0</v>
      </c>
      <c r="H22" s="2" t="n">
        <v>125770</v>
      </c>
      <c r="I22" s="2" t="s">
        <v>116</v>
      </c>
      <c r="J22" s="2" t="s">
        <v>179</v>
      </c>
      <c r="K22" s="2" t="s">
        <v>180</v>
      </c>
      <c r="L22" s="2" t="s">
        <v>118</v>
      </c>
      <c r="O22" s="2" t="n">
        <v>16500</v>
      </c>
      <c r="R22" s="2" t="s">
        <v>71</v>
      </c>
      <c r="S22" s="3" t="b">
        <f aca="false">FALSE()</f>
        <v>0</v>
      </c>
      <c r="T22" s="3" t="b">
        <f aca="false">FALSE()</f>
        <v>0</v>
      </c>
      <c r="U22" s="2" t="s">
        <v>105</v>
      </c>
      <c r="W22" s="2" t="s">
        <v>106</v>
      </c>
      <c r="X22" s="2" t="s">
        <v>181</v>
      </c>
    </row>
    <row r="23" customFormat="false" ht="15" hidden="false" customHeight="false" outlineLevel="0" collapsed="false">
      <c r="B23" s="4" t="s">
        <v>182</v>
      </c>
      <c r="C23" s="4" t="s">
        <v>27</v>
      </c>
      <c r="D23" s="4" t="s">
        <v>100</v>
      </c>
      <c r="E23" s="7" t="n">
        <v>46272</v>
      </c>
      <c r="F23" s="7" t="n">
        <v>46273</v>
      </c>
      <c r="G23" s="4" t="n">
        <v>1</v>
      </c>
      <c r="H23" s="4" t="n">
        <v>116980</v>
      </c>
      <c r="I23" s="4" t="s">
        <v>121</v>
      </c>
      <c r="J23" s="4" t="s">
        <v>183</v>
      </c>
      <c r="K23" s="4" t="s">
        <v>184</v>
      </c>
      <c r="L23" s="4" t="s">
        <v>160</v>
      </c>
      <c r="O23" s="4" t="n">
        <v>6200</v>
      </c>
      <c r="R23" s="4" t="s">
        <v>60</v>
      </c>
      <c r="S23" s="5" t="b">
        <f aca="false">FALSE()</f>
        <v>0</v>
      </c>
      <c r="T23" s="5" t="b">
        <f aca="false">FALSE()</f>
        <v>0</v>
      </c>
      <c r="U23" s="4" t="s">
        <v>105</v>
      </c>
      <c r="W23" s="4" t="s">
        <v>106</v>
      </c>
      <c r="X23" s="4" t="s">
        <v>185</v>
      </c>
    </row>
    <row r="24" customFormat="false" ht="15" hidden="false" customHeight="false" outlineLevel="0" collapsed="false">
      <c r="B24" s="2" t="s">
        <v>186</v>
      </c>
      <c r="C24" s="2" t="s">
        <v>15</v>
      </c>
      <c r="D24" s="2" t="s">
        <v>131</v>
      </c>
      <c r="E24" s="6" t="n">
        <v>46277</v>
      </c>
      <c r="F24" s="6" t="n">
        <v>46277</v>
      </c>
      <c r="G24" s="2" t="n">
        <v>0</v>
      </c>
      <c r="H24" s="2" t="n">
        <v>79010</v>
      </c>
      <c r="I24" s="2" t="s">
        <v>110</v>
      </c>
      <c r="J24" s="2" t="s">
        <v>132</v>
      </c>
      <c r="K24" s="2" t="s">
        <v>133</v>
      </c>
      <c r="L24" s="2" t="s">
        <v>134</v>
      </c>
      <c r="O24" s="2" t="n">
        <v>9200</v>
      </c>
      <c r="R24" s="2" t="s">
        <v>54</v>
      </c>
      <c r="S24" s="3" t="b">
        <f aca="false">FALSE()</f>
        <v>0</v>
      </c>
      <c r="T24" s="3" t="b">
        <f aca="false">FALSE()</f>
        <v>0</v>
      </c>
      <c r="U24" s="2" t="s">
        <v>105</v>
      </c>
      <c r="W24" s="2" t="s">
        <v>106</v>
      </c>
      <c r="X24" s="2" t="s">
        <v>187</v>
      </c>
    </row>
    <row r="25" customFormat="false" ht="15" hidden="false" customHeight="false" outlineLevel="0" collapsed="false">
      <c r="B25" s="4" t="s">
        <v>188</v>
      </c>
      <c r="C25" s="4" t="s">
        <v>35</v>
      </c>
      <c r="D25" s="4" t="s">
        <v>109</v>
      </c>
      <c r="E25" s="7" t="n">
        <v>46280</v>
      </c>
      <c r="F25" s="7" t="n">
        <v>46280</v>
      </c>
      <c r="G25" s="4" t="n">
        <v>0</v>
      </c>
      <c r="H25" s="4" t="n">
        <v>163900</v>
      </c>
      <c r="I25" s="4" t="s">
        <v>101</v>
      </c>
      <c r="J25" s="4" t="s">
        <v>189</v>
      </c>
      <c r="K25" s="4" t="s">
        <v>190</v>
      </c>
      <c r="L25" s="4" t="s">
        <v>104</v>
      </c>
      <c r="O25" s="4" t="n">
        <v>14800</v>
      </c>
      <c r="R25" s="4" t="s">
        <v>65</v>
      </c>
      <c r="S25" s="5" t="b">
        <f aca="false">FALSE()</f>
        <v>0</v>
      </c>
      <c r="T25" s="5" t="b">
        <f aca="false">FALSE()</f>
        <v>0</v>
      </c>
      <c r="U25" s="4" t="s">
        <v>105</v>
      </c>
      <c r="W25" s="4" t="s">
        <v>106</v>
      </c>
      <c r="X25" s="4" t="s">
        <v>191</v>
      </c>
    </row>
    <row r="26" customFormat="false" ht="15" hidden="false" customHeight="false" outlineLevel="0" collapsed="false">
      <c r="B26" s="2" t="s">
        <v>192</v>
      </c>
      <c r="C26" s="2" t="s">
        <v>42</v>
      </c>
      <c r="D26" s="2" t="s">
        <v>131</v>
      </c>
      <c r="E26" s="6" t="n">
        <v>46285</v>
      </c>
      <c r="F26" s="6" t="n">
        <v>46285</v>
      </c>
      <c r="G26" s="2" t="n">
        <v>0</v>
      </c>
      <c r="H26" s="2" t="n">
        <v>93960</v>
      </c>
      <c r="I26" s="2" t="s">
        <v>110</v>
      </c>
      <c r="J26" s="2" t="s">
        <v>132</v>
      </c>
      <c r="K26" s="2" t="s">
        <v>133</v>
      </c>
      <c r="L26" s="2" t="s">
        <v>134</v>
      </c>
      <c r="O26" s="2" t="n">
        <v>9200</v>
      </c>
      <c r="R26" s="2" t="s">
        <v>69</v>
      </c>
      <c r="S26" s="3" t="b">
        <f aca="false">FALSE()</f>
        <v>0</v>
      </c>
      <c r="T26" s="3" t="b">
        <f aca="false">FALSE()</f>
        <v>0</v>
      </c>
      <c r="U26" s="2" t="s">
        <v>105</v>
      </c>
      <c r="W26" s="2" t="s">
        <v>106</v>
      </c>
      <c r="X26" s="2" t="s">
        <v>193</v>
      </c>
    </row>
    <row r="27" customFormat="false" ht="15" hidden="false" customHeight="false" outlineLevel="0" collapsed="false">
      <c r="B27" s="4" t="s">
        <v>194</v>
      </c>
      <c r="C27" s="4" t="s">
        <v>39</v>
      </c>
      <c r="D27" s="4" t="s">
        <v>100</v>
      </c>
      <c r="E27" s="7" t="n">
        <v>46290</v>
      </c>
      <c r="F27" s="7" t="n">
        <v>46290</v>
      </c>
      <c r="G27" s="4" t="n">
        <v>0</v>
      </c>
      <c r="H27" s="4" t="n">
        <v>70400</v>
      </c>
      <c r="I27" s="4" t="s">
        <v>195</v>
      </c>
      <c r="J27" s="4" t="s">
        <v>196</v>
      </c>
      <c r="K27" s="4" t="s">
        <v>197</v>
      </c>
      <c r="L27" s="4" t="s">
        <v>113</v>
      </c>
      <c r="O27" s="4" t="n">
        <v>3400</v>
      </c>
      <c r="R27" s="4" t="s">
        <v>67</v>
      </c>
      <c r="S27" s="5" t="b">
        <f aca="false">FALSE()</f>
        <v>0</v>
      </c>
      <c r="T27" s="5" t="b">
        <f aca="false">FALSE()</f>
        <v>0</v>
      </c>
      <c r="U27" s="4" t="s">
        <v>105</v>
      </c>
      <c r="W27" s="4" t="s">
        <v>106</v>
      </c>
      <c r="X27" s="4" t="s">
        <v>198</v>
      </c>
    </row>
    <row r="28" customFormat="false" ht="15" hidden="false" customHeight="false" outlineLevel="0" collapsed="false">
      <c r="B28" s="2" t="s">
        <v>199</v>
      </c>
      <c r="C28" s="2" t="s">
        <v>31</v>
      </c>
      <c r="D28" s="2" t="s">
        <v>131</v>
      </c>
      <c r="E28" s="6" t="n">
        <v>46297</v>
      </c>
      <c r="F28" s="6" t="n">
        <v>46297</v>
      </c>
      <c r="G28" s="2" t="n">
        <v>0</v>
      </c>
      <c r="H28" s="2" t="n">
        <v>37550</v>
      </c>
      <c r="I28" s="2" t="s">
        <v>110</v>
      </c>
      <c r="J28" s="2" t="s">
        <v>132</v>
      </c>
      <c r="K28" s="2" t="s">
        <v>133</v>
      </c>
      <c r="L28" s="2" t="s">
        <v>134</v>
      </c>
      <c r="O28" s="2" t="n">
        <v>9200</v>
      </c>
      <c r="R28" s="2" t="s">
        <v>63</v>
      </c>
      <c r="S28" s="3" t="b">
        <f aca="false">FALSE()</f>
        <v>0</v>
      </c>
      <c r="T28" s="3" t="b">
        <f aca="false">FALSE()</f>
        <v>0</v>
      </c>
      <c r="U28" s="2" t="s">
        <v>105</v>
      </c>
      <c r="W28" s="2" t="s">
        <v>106</v>
      </c>
      <c r="X28" s="2" t="s">
        <v>200</v>
      </c>
    </row>
    <row r="29" customFormat="false" ht="15" hidden="false" customHeight="false" outlineLevel="0" collapsed="false">
      <c r="B29" s="4" t="s">
        <v>201</v>
      </c>
      <c r="C29" s="4" t="s">
        <v>24</v>
      </c>
      <c r="D29" s="4" t="s">
        <v>100</v>
      </c>
      <c r="E29" s="7" t="n">
        <v>46303</v>
      </c>
      <c r="F29" s="7" t="n">
        <v>46304</v>
      </c>
      <c r="G29" s="4" t="n">
        <v>1</v>
      </c>
      <c r="H29" s="4" t="n">
        <v>141100</v>
      </c>
      <c r="I29" s="4" t="s">
        <v>126</v>
      </c>
      <c r="J29" s="4" t="s">
        <v>202</v>
      </c>
      <c r="K29" s="4" t="s">
        <v>203</v>
      </c>
      <c r="L29" s="4" t="s">
        <v>113</v>
      </c>
      <c r="O29" s="4" t="n">
        <v>7900</v>
      </c>
      <c r="R29" s="4" t="s">
        <v>58</v>
      </c>
      <c r="S29" s="5" t="b">
        <f aca="false">FALSE()</f>
        <v>0</v>
      </c>
      <c r="T29" s="5" t="b">
        <f aca="false">FALSE()</f>
        <v>0</v>
      </c>
      <c r="U29" s="4" t="s">
        <v>105</v>
      </c>
      <c r="W29" s="4" t="s">
        <v>106</v>
      </c>
      <c r="X29" s="4" t="s">
        <v>204</v>
      </c>
    </row>
    <row r="30" customFormat="false" ht="15" hidden="false" customHeight="false" outlineLevel="0" collapsed="false">
      <c r="B30" s="2" t="s">
        <v>205</v>
      </c>
      <c r="C30" s="2" t="s">
        <v>15</v>
      </c>
      <c r="D30" s="2" t="s">
        <v>100</v>
      </c>
      <c r="E30" s="6" t="n">
        <v>46305</v>
      </c>
      <c r="F30" s="6" t="n">
        <v>46305</v>
      </c>
      <c r="G30" s="2" t="n">
        <v>0</v>
      </c>
      <c r="H30" s="2" t="n">
        <v>83900</v>
      </c>
      <c r="I30" s="2" t="s">
        <v>206</v>
      </c>
      <c r="J30" s="2" t="s">
        <v>207</v>
      </c>
      <c r="K30" s="2" t="s">
        <v>208</v>
      </c>
      <c r="L30" s="2" t="s">
        <v>113</v>
      </c>
      <c r="O30" s="2" t="n">
        <v>2800</v>
      </c>
      <c r="R30" s="2" t="s">
        <v>54</v>
      </c>
      <c r="S30" s="3" t="b">
        <f aca="false">FALSE()</f>
        <v>0</v>
      </c>
      <c r="T30" s="3" t="b">
        <f aca="false">FALSE()</f>
        <v>0</v>
      </c>
      <c r="U30" s="2" t="s">
        <v>105</v>
      </c>
      <c r="W30" s="2" t="s">
        <v>106</v>
      </c>
      <c r="X30" s="2" t="s">
        <v>209</v>
      </c>
    </row>
    <row r="31" customFormat="false" ht="15" hidden="false" customHeight="false" outlineLevel="0" collapsed="false">
      <c r="B31" s="4" t="s">
        <v>210</v>
      </c>
      <c r="C31" s="4" t="s">
        <v>48</v>
      </c>
      <c r="D31" s="4" t="s">
        <v>100</v>
      </c>
      <c r="E31" s="7" t="n">
        <v>46307</v>
      </c>
      <c r="F31" s="7" t="n">
        <v>46307</v>
      </c>
      <c r="G31" s="4" t="n">
        <v>0</v>
      </c>
      <c r="H31" s="4" t="n">
        <v>182300</v>
      </c>
      <c r="I31" s="4" t="s">
        <v>101</v>
      </c>
      <c r="J31" s="4" t="s">
        <v>211</v>
      </c>
      <c r="K31" s="4" t="s">
        <v>212</v>
      </c>
      <c r="L31" s="4" t="s">
        <v>113</v>
      </c>
      <c r="O31" s="4" t="n">
        <v>1200</v>
      </c>
      <c r="R31" s="4" t="s">
        <v>73</v>
      </c>
      <c r="S31" s="5" t="b">
        <f aca="false">FALSE()</f>
        <v>0</v>
      </c>
      <c r="T31" s="5" t="b">
        <f aca="false">FALSE()</f>
        <v>0</v>
      </c>
      <c r="U31" s="4" t="s">
        <v>105</v>
      </c>
      <c r="W31" s="4" t="s">
        <v>106</v>
      </c>
      <c r="X31" s="4" t="s">
        <v>213</v>
      </c>
    </row>
    <row r="32" customFormat="false" ht="15" hidden="false" customHeight="false" outlineLevel="0" collapsed="false">
      <c r="B32" s="2" t="s">
        <v>214</v>
      </c>
      <c r="C32" s="2" t="s">
        <v>27</v>
      </c>
      <c r="D32" s="2" t="s">
        <v>109</v>
      </c>
      <c r="E32" s="6" t="n">
        <v>46313</v>
      </c>
      <c r="H32" s="2" t="n">
        <v>118640</v>
      </c>
      <c r="I32" s="2" t="s">
        <v>121</v>
      </c>
      <c r="J32" s="2" t="s">
        <v>215</v>
      </c>
      <c r="K32" s="2" t="s">
        <v>216</v>
      </c>
      <c r="L32" s="2" t="s">
        <v>160</v>
      </c>
      <c r="M32" s="2" t="s">
        <v>217</v>
      </c>
      <c r="O32" s="2" t="n">
        <v>18400</v>
      </c>
      <c r="R32" s="2" t="s">
        <v>60</v>
      </c>
      <c r="S32" s="3" t="b">
        <f aca="false">FALSE()</f>
        <v>0</v>
      </c>
      <c r="T32" s="3" t="b">
        <f aca="false">FALSE()</f>
        <v>0</v>
      </c>
      <c r="U32" s="2" t="s">
        <v>105</v>
      </c>
      <c r="W32" s="2" t="s">
        <v>106</v>
      </c>
      <c r="X32" s="2" t="s">
        <v>218</v>
      </c>
    </row>
  </sheetData>
  <autoFilter ref="A1:X3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3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" t="s">
        <v>0</v>
      </c>
      <c r="B1" s="1" t="s">
        <v>77</v>
      </c>
      <c r="C1" s="1" t="s">
        <v>6</v>
      </c>
      <c r="D1" s="1" t="s">
        <v>83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95</v>
      </c>
    </row>
    <row r="2" customFormat="false" ht="15" hidden="false" customHeight="false" outlineLevel="0" collapsed="false">
      <c r="B2" s="2" t="s">
        <v>99</v>
      </c>
      <c r="C2" s="2" t="s">
        <v>35</v>
      </c>
      <c r="D2" s="2" t="s">
        <v>101</v>
      </c>
      <c r="E2" s="2" t="s">
        <v>225</v>
      </c>
      <c r="G2" s="2" t="s">
        <v>226</v>
      </c>
      <c r="H2" s="2" t="s">
        <v>226</v>
      </c>
      <c r="K2" s="2" t="s">
        <v>105</v>
      </c>
    </row>
    <row r="3" customFormat="false" ht="15" hidden="false" customHeight="false" outlineLevel="0" collapsed="false">
      <c r="B3" s="4" t="s">
        <v>108</v>
      </c>
      <c r="C3" s="4" t="s">
        <v>27</v>
      </c>
      <c r="D3" s="4" t="s">
        <v>110</v>
      </c>
      <c r="E3" s="4" t="s">
        <v>227</v>
      </c>
      <c r="G3" s="4" t="s">
        <v>228</v>
      </c>
      <c r="H3" s="4" t="s">
        <v>228</v>
      </c>
      <c r="K3" s="4" t="s">
        <v>105</v>
      </c>
    </row>
    <row r="4" customFormat="false" ht="15" hidden="false" customHeight="false" outlineLevel="0" collapsed="false">
      <c r="B4" s="2" t="s">
        <v>115</v>
      </c>
      <c r="C4" s="2" t="s">
        <v>45</v>
      </c>
      <c r="D4" s="2" t="s">
        <v>116</v>
      </c>
      <c r="E4" s="2" t="s">
        <v>229</v>
      </c>
      <c r="F4" s="2" t="s">
        <v>230</v>
      </c>
      <c r="H4" s="2" t="s">
        <v>231</v>
      </c>
      <c r="K4" s="2" t="s">
        <v>105</v>
      </c>
    </row>
    <row r="5" customFormat="false" ht="15" hidden="false" customHeight="false" outlineLevel="0" collapsed="false">
      <c r="B5" s="4" t="s">
        <v>120</v>
      </c>
      <c r="C5" s="4" t="s">
        <v>27</v>
      </c>
      <c r="D5" s="4" t="s">
        <v>121</v>
      </c>
      <c r="E5" s="4" t="s">
        <v>232</v>
      </c>
      <c r="F5" s="4" t="s">
        <v>233</v>
      </c>
      <c r="G5" s="4" t="s">
        <v>234</v>
      </c>
      <c r="H5" s="4" t="s">
        <v>234</v>
      </c>
      <c r="K5" s="4" t="s">
        <v>105</v>
      </c>
    </row>
    <row r="6" customFormat="false" ht="15" hidden="false" customHeight="false" outlineLevel="0" collapsed="false">
      <c r="B6" s="2" t="s">
        <v>120</v>
      </c>
      <c r="C6" s="2" t="s">
        <v>27</v>
      </c>
      <c r="D6" s="2" t="s">
        <v>121</v>
      </c>
      <c r="E6" s="2" t="s">
        <v>235</v>
      </c>
      <c r="F6" s="2" t="s">
        <v>236</v>
      </c>
      <c r="G6" s="2" t="s">
        <v>237</v>
      </c>
      <c r="H6" s="2" t="s">
        <v>237</v>
      </c>
      <c r="K6" s="2" t="s">
        <v>105</v>
      </c>
    </row>
    <row r="7" customFormat="false" ht="15" hidden="false" customHeight="false" outlineLevel="0" collapsed="false">
      <c r="B7" s="4" t="s">
        <v>125</v>
      </c>
      <c r="C7" s="4" t="s">
        <v>24</v>
      </c>
      <c r="D7" s="4" t="s">
        <v>126</v>
      </c>
      <c r="E7" s="4" t="s">
        <v>238</v>
      </c>
      <c r="F7" s="4" t="s">
        <v>239</v>
      </c>
      <c r="G7" s="4" t="s">
        <v>240</v>
      </c>
      <c r="H7" s="4" t="s">
        <v>240</v>
      </c>
      <c r="K7" s="4" t="s">
        <v>105</v>
      </c>
    </row>
    <row r="8" customFormat="false" ht="15" hidden="false" customHeight="false" outlineLevel="0" collapsed="false">
      <c r="B8" s="2" t="s">
        <v>130</v>
      </c>
      <c r="C8" s="2" t="s">
        <v>27</v>
      </c>
      <c r="D8" s="2" t="s">
        <v>110</v>
      </c>
      <c r="E8" s="2" t="s">
        <v>241</v>
      </c>
      <c r="H8" s="2" t="s">
        <v>242</v>
      </c>
      <c r="K8" s="2" t="s">
        <v>105</v>
      </c>
    </row>
    <row r="9" customFormat="false" ht="15" hidden="false" customHeight="false" outlineLevel="0" collapsed="false">
      <c r="B9" s="4" t="s">
        <v>141</v>
      </c>
      <c r="C9" s="4" t="s">
        <v>35</v>
      </c>
      <c r="D9" s="4" t="s">
        <v>110</v>
      </c>
      <c r="E9" s="4" t="s">
        <v>241</v>
      </c>
      <c r="H9" s="4" t="s">
        <v>242</v>
      </c>
      <c r="K9" s="4" t="s">
        <v>105</v>
      </c>
    </row>
    <row r="10" customFormat="false" ht="15" hidden="false" customHeight="false" outlineLevel="0" collapsed="false">
      <c r="B10" s="2" t="s">
        <v>143</v>
      </c>
      <c r="C10" s="2" t="s">
        <v>45</v>
      </c>
      <c r="D10" s="2" t="s">
        <v>110</v>
      </c>
      <c r="E10" s="2" t="s">
        <v>241</v>
      </c>
      <c r="H10" s="2" t="s">
        <v>242</v>
      </c>
      <c r="K10" s="2" t="s">
        <v>105</v>
      </c>
    </row>
    <row r="11" customFormat="false" ht="15" hidden="false" customHeight="false" outlineLevel="0" collapsed="false">
      <c r="B11" s="4" t="s">
        <v>145</v>
      </c>
      <c r="C11" s="4" t="s">
        <v>27</v>
      </c>
      <c r="D11" s="4" t="s">
        <v>121</v>
      </c>
      <c r="E11" s="4" t="s">
        <v>232</v>
      </c>
      <c r="F11" s="4" t="s">
        <v>233</v>
      </c>
      <c r="G11" s="4" t="s">
        <v>234</v>
      </c>
      <c r="H11" s="4" t="s">
        <v>234</v>
      </c>
      <c r="K11" s="4" t="s">
        <v>105</v>
      </c>
    </row>
    <row r="12" customFormat="false" ht="15" hidden="false" customHeight="false" outlineLevel="0" collapsed="false">
      <c r="B12" s="2" t="s">
        <v>145</v>
      </c>
      <c r="C12" s="2" t="s">
        <v>27</v>
      </c>
      <c r="D12" s="2" t="s">
        <v>121</v>
      </c>
      <c r="E12" s="2" t="s">
        <v>243</v>
      </c>
      <c r="F12" s="2" t="s">
        <v>244</v>
      </c>
      <c r="G12" s="2" t="s">
        <v>245</v>
      </c>
      <c r="H12" s="2" t="s">
        <v>245</v>
      </c>
      <c r="K12" s="2" t="s">
        <v>105</v>
      </c>
    </row>
    <row r="13" customFormat="false" ht="15" hidden="false" customHeight="false" outlineLevel="0" collapsed="false">
      <c r="B13" s="4" t="s">
        <v>148</v>
      </c>
      <c r="C13" s="4" t="s">
        <v>45</v>
      </c>
      <c r="D13" s="4" t="s">
        <v>116</v>
      </c>
      <c r="E13" s="4" t="s">
        <v>229</v>
      </c>
      <c r="F13" s="4" t="s">
        <v>230</v>
      </c>
      <c r="H13" s="4" t="s">
        <v>231</v>
      </c>
      <c r="K13" s="4" t="s">
        <v>105</v>
      </c>
    </row>
    <row r="14" customFormat="false" ht="15" hidden="false" customHeight="false" outlineLevel="0" collapsed="false">
      <c r="B14" s="2" t="s">
        <v>152</v>
      </c>
      <c r="C14" s="2" t="s">
        <v>35</v>
      </c>
      <c r="D14" s="2" t="s">
        <v>101</v>
      </c>
      <c r="E14" s="2" t="s">
        <v>225</v>
      </c>
      <c r="G14" s="2" t="s">
        <v>226</v>
      </c>
      <c r="H14" s="2" t="s">
        <v>226</v>
      </c>
      <c r="K14" s="2" t="s">
        <v>105</v>
      </c>
    </row>
    <row r="15" customFormat="false" ht="15" hidden="false" customHeight="false" outlineLevel="0" collapsed="false">
      <c r="B15" s="4" t="s">
        <v>156</v>
      </c>
      <c r="C15" s="4" t="s">
        <v>27</v>
      </c>
      <c r="D15" s="4" t="s">
        <v>157</v>
      </c>
      <c r="E15" s="4" t="s">
        <v>246</v>
      </c>
      <c r="G15" s="4" t="s">
        <v>247</v>
      </c>
      <c r="H15" s="4" t="s">
        <v>247</v>
      </c>
      <c r="K15" s="4" t="s">
        <v>105</v>
      </c>
    </row>
    <row r="16" customFormat="false" ht="15" hidden="false" customHeight="false" outlineLevel="0" collapsed="false">
      <c r="B16" s="2" t="s">
        <v>156</v>
      </c>
      <c r="C16" s="2" t="s">
        <v>27</v>
      </c>
      <c r="D16" s="2" t="s">
        <v>157</v>
      </c>
      <c r="E16" s="2" t="s">
        <v>248</v>
      </c>
      <c r="G16" s="2" t="s">
        <v>249</v>
      </c>
      <c r="H16" s="2" t="s">
        <v>249</v>
      </c>
      <c r="K16" s="2" t="s">
        <v>105</v>
      </c>
    </row>
    <row r="17" customFormat="false" ht="15" hidden="false" customHeight="false" outlineLevel="0" collapsed="false">
      <c r="B17" s="4" t="s">
        <v>162</v>
      </c>
      <c r="C17" s="4" t="s">
        <v>27</v>
      </c>
      <c r="D17" s="4" t="s">
        <v>110</v>
      </c>
      <c r="E17" s="4" t="s">
        <v>241</v>
      </c>
      <c r="H17" s="4" t="s">
        <v>242</v>
      </c>
      <c r="K17" s="4" t="s">
        <v>105</v>
      </c>
    </row>
    <row r="18" customFormat="false" ht="15" hidden="false" customHeight="false" outlineLevel="0" collapsed="false">
      <c r="B18" s="2" t="s">
        <v>165</v>
      </c>
      <c r="C18" s="2" t="s">
        <v>24</v>
      </c>
      <c r="D18" s="2" t="s">
        <v>110</v>
      </c>
      <c r="E18" s="2" t="s">
        <v>241</v>
      </c>
      <c r="H18" s="2" t="s">
        <v>242</v>
      </c>
      <c r="K18" s="2" t="s">
        <v>105</v>
      </c>
    </row>
    <row r="19" customFormat="false" ht="15" hidden="false" customHeight="false" outlineLevel="0" collapsed="false">
      <c r="B19" s="4" t="s">
        <v>167</v>
      </c>
      <c r="C19" s="4" t="s">
        <v>39</v>
      </c>
      <c r="D19" s="4" t="s">
        <v>110</v>
      </c>
      <c r="E19" s="4" t="s">
        <v>241</v>
      </c>
      <c r="H19" s="4" t="s">
        <v>242</v>
      </c>
      <c r="K19" s="4" t="s">
        <v>105</v>
      </c>
    </row>
    <row r="20" customFormat="false" ht="15" hidden="false" customHeight="false" outlineLevel="0" collapsed="false">
      <c r="B20" s="2" t="s">
        <v>169</v>
      </c>
      <c r="C20" s="2" t="s">
        <v>48</v>
      </c>
      <c r="D20" s="2" t="s">
        <v>110</v>
      </c>
      <c r="E20" s="2" t="s">
        <v>241</v>
      </c>
      <c r="H20" s="2" t="s">
        <v>242</v>
      </c>
      <c r="K20" s="2" t="s">
        <v>105</v>
      </c>
    </row>
    <row r="21" customFormat="false" ht="15" hidden="false" customHeight="false" outlineLevel="0" collapsed="false">
      <c r="B21" s="4" t="s">
        <v>171</v>
      </c>
      <c r="C21" s="4" t="s">
        <v>35</v>
      </c>
      <c r="D21" s="4" t="s">
        <v>110</v>
      </c>
      <c r="E21" s="4" t="s">
        <v>241</v>
      </c>
      <c r="H21" s="4" t="s">
        <v>242</v>
      </c>
      <c r="K21" s="4" t="s">
        <v>105</v>
      </c>
    </row>
    <row r="22" customFormat="false" ht="15" hidden="false" customHeight="false" outlineLevel="0" collapsed="false">
      <c r="B22" s="2" t="s">
        <v>174</v>
      </c>
      <c r="C22" s="2" t="s">
        <v>45</v>
      </c>
      <c r="D22" s="2" t="s">
        <v>110</v>
      </c>
      <c r="E22" s="2" t="s">
        <v>241</v>
      </c>
      <c r="H22" s="2" t="s">
        <v>242</v>
      </c>
      <c r="K22" s="2" t="s">
        <v>105</v>
      </c>
    </row>
    <row r="23" customFormat="false" ht="15" hidden="false" customHeight="false" outlineLevel="0" collapsed="false">
      <c r="B23" s="4" t="s">
        <v>176</v>
      </c>
      <c r="C23" s="4" t="s">
        <v>20</v>
      </c>
      <c r="D23" s="4" t="s">
        <v>110</v>
      </c>
      <c r="E23" s="4" t="s">
        <v>241</v>
      </c>
      <c r="H23" s="4" t="s">
        <v>242</v>
      </c>
      <c r="K23" s="4" t="s">
        <v>105</v>
      </c>
    </row>
    <row r="24" customFormat="false" ht="15" hidden="false" customHeight="false" outlineLevel="0" collapsed="false">
      <c r="B24" s="2" t="s">
        <v>178</v>
      </c>
      <c r="C24" s="2" t="s">
        <v>45</v>
      </c>
      <c r="D24" s="2" t="s">
        <v>116</v>
      </c>
      <c r="E24" s="2" t="s">
        <v>229</v>
      </c>
      <c r="F24" s="2" t="s">
        <v>230</v>
      </c>
      <c r="G24" s="2" t="s">
        <v>231</v>
      </c>
      <c r="H24" s="2" t="s">
        <v>231</v>
      </c>
      <c r="K24" s="2" t="s">
        <v>105</v>
      </c>
    </row>
    <row r="25" customFormat="false" ht="15" hidden="false" customHeight="false" outlineLevel="0" collapsed="false">
      <c r="B25" s="4" t="s">
        <v>182</v>
      </c>
      <c r="C25" s="4" t="s">
        <v>27</v>
      </c>
      <c r="D25" s="4" t="s">
        <v>121</v>
      </c>
      <c r="E25" s="4" t="s">
        <v>232</v>
      </c>
      <c r="F25" s="4" t="s">
        <v>233</v>
      </c>
      <c r="G25" s="4" t="s">
        <v>234</v>
      </c>
      <c r="H25" s="4" t="s">
        <v>234</v>
      </c>
      <c r="K25" s="4" t="s">
        <v>105</v>
      </c>
    </row>
    <row r="26" customFormat="false" ht="15" hidden="false" customHeight="false" outlineLevel="0" collapsed="false">
      <c r="B26" s="2" t="s">
        <v>186</v>
      </c>
      <c r="C26" s="2" t="s">
        <v>15</v>
      </c>
      <c r="D26" s="2" t="s">
        <v>110</v>
      </c>
      <c r="E26" s="2" t="s">
        <v>241</v>
      </c>
      <c r="H26" s="2" t="s">
        <v>242</v>
      </c>
      <c r="K26" s="2" t="s">
        <v>105</v>
      </c>
    </row>
    <row r="27" customFormat="false" ht="15" hidden="false" customHeight="false" outlineLevel="0" collapsed="false">
      <c r="B27" s="4" t="s">
        <v>188</v>
      </c>
      <c r="C27" s="4" t="s">
        <v>35</v>
      </c>
      <c r="D27" s="4" t="s">
        <v>101</v>
      </c>
      <c r="E27" s="4" t="s">
        <v>225</v>
      </c>
      <c r="G27" s="4" t="s">
        <v>226</v>
      </c>
      <c r="H27" s="4" t="s">
        <v>226</v>
      </c>
      <c r="K27" s="4" t="s">
        <v>105</v>
      </c>
    </row>
    <row r="28" customFormat="false" ht="15" hidden="false" customHeight="false" outlineLevel="0" collapsed="false">
      <c r="B28" s="2" t="s">
        <v>192</v>
      </c>
      <c r="C28" s="2" t="s">
        <v>42</v>
      </c>
      <c r="D28" s="2" t="s">
        <v>110</v>
      </c>
      <c r="E28" s="2" t="s">
        <v>241</v>
      </c>
      <c r="H28" s="2" t="s">
        <v>242</v>
      </c>
      <c r="K28" s="2" t="s">
        <v>105</v>
      </c>
    </row>
    <row r="29" customFormat="false" ht="15" hidden="false" customHeight="false" outlineLevel="0" collapsed="false">
      <c r="B29" s="4" t="s">
        <v>194</v>
      </c>
      <c r="C29" s="4" t="s">
        <v>39</v>
      </c>
      <c r="D29" s="4" t="s">
        <v>195</v>
      </c>
      <c r="E29" s="4" t="s">
        <v>250</v>
      </c>
      <c r="G29" s="4" t="s">
        <v>251</v>
      </c>
      <c r="H29" s="4" t="s">
        <v>251</v>
      </c>
      <c r="K29" s="4" t="s">
        <v>105</v>
      </c>
    </row>
    <row r="30" customFormat="false" ht="15" hidden="false" customHeight="false" outlineLevel="0" collapsed="false">
      <c r="B30" s="2" t="s">
        <v>199</v>
      </c>
      <c r="C30" s="2" t="s">
        <v>31</v>
      </c>
      <c r="D30" s="2" t="s">
        <v>110</v>
      </c>
      <c r="E30" s="2" t="s">
        <v>241</v>
      </c>
      <c r="H30" s="2" t="s">
        <v>242</v>
      </c>
      <c r="K30" s="2" t="s">
        <v>105</v>
      </c>
    </row>
    <row r="31" customFormat="false" ht="15" hidden="false" customHeight="false" outlineLevel="0" collapsed="false">
      <c r="B31" s="4" t="s">
        <v>201</v>
      </c>
      <c r="C31" s="4" t="s">
        <v>24</v>
      </c>
      <c r="D31" s="4" t="s">
        <v>126</v>
      </c>
      <c r="E31" s="4" t="s">
        <v>252</v>
      </c>
      <c r="F31" s="4" t="s">
        <v>239</v>
      </c>
      <c r="G31" s="4" t="s">
        <v>253</v>
      </c>
      <c r="H31" s="4" t="s">
        <v>253</v>
      </c>
      <c r="K31" s="4" t="s">
        <v>105</v>
      </c>
    </row>
    <row r="32" customFormat="false" ht="15" hidden="false" customHeight="false" outlineLevel="0" collapsed="false">
      <c r="B32" s="2" t="s">
        <v>205</v>
      </c>
      <c r="C32" s="2" t="s">
        <v>15</v>
      </c>
      <c r="D32" s="2" t="s">
        <v>206</v>
      </c>
      <c r="E32" s="2" t="s">
        <v>254</v>
      </c>
      <c r="G32" s="2" t="s">
        <v>255</v>
      </c>
      <c r="H32" s="2" t="s">
        <v>255</v>
      </c>
      <c r="K32" s="2" t="s">
        <v>105</v>
      </c>
    </row>
    <row r="33" customFormat="false" ht="15" hidden="false" customHeight="false" outlineLevel="0" collapsed="false">
      <c r="B33" s="4" t="s">
        <v>210</v>
      </c>
      <c r="C33" s="4" t="s">
        <v>48</v>
      </c>
      <c r="D33" s="4" t="s">
        <v>101</v>
      </c>
      <c r="E33" s="4" t="s">
        <v>256</v>
      </c>
      <c r="G33" s="4" t="s">
        <v>257</v>
      </c>
      <c r="H33" s="4" t="s">
        <v>257</v>
      </c>
      <c r="K33" s="4" t="s">
        <v>105</v>
      </c>
    </row>
    <row r="34" customFormat="false" ht="15" hidden="false" customHeight="false" outlineLevel="0" collapsed="false">
      <c r="B34" s="2" t="s">
        <v>214</v>
      </c>
      <c r="C34" s="2" t="s">
        <v>27</v>
      </c>
      <c r="D34" s="2" t="s">
        <v>121</v>
      </c>
      <c r="E34" s="2" t="s">
        <v>232</v>
      </c>
      <c r="F34" s="2" t="s">
        <v>233</v>
      </c>
      <c r="G34" s="2" t="s">
        <v>234</v>
      </c>
      <c r="H34" s="2" t="s">
        <v>258</v>
      </c>
      <c r="K34" s="2" t="s">
        <v>105</v>
      </c>
    </row>
    <row r="35" customFormat="false" ht="15" hidden="false" customHeight="false" outlineLevel="0" collapsed="false">
      <c r="B35" s="4" t="s">
        <v>214</v>
      </c>
      <c r="C35" s="4" t="s">
        <v>27</v>
      </c>
      <c r="D35" s="4" t="s">
        <v>121</v>
      </c>
      <c r="E35" s="4" t="s">
        <v>259</v>
      </c>
      <c r="F35" s="4" t="s">
        <v>230</v>
      </c>
      <c r="G35" s="4" t="s">
        <v>260</v>
      </c>
      <c r="H35" s="4" t="s">
        <v>260</v>
      </c>
      <c r="K35" s="4" t="s">
        <v>105</v>
      </c>
    </row>
  </sheetData>
  <autoFilter ref="A1:K3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3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30" hidden="false" customHeight="true" outlineLevel="0" collapsed="false">
      <c r="A1" s="1" t="s">
        <v>0</v>
      </c>
      <c r="B1" s="1" t="s">
        <v>6</v>
      </c>
      <c r="C1" s="1" t="s">
        <v>261</v>
      </c>
      <c r="D1" s="1" t="s">
        <v>262</v>
      </c>
      <c r="E1" s="1" t="s">
        <v>263</v>
      </c>
      <c r="F1" s="1" t="s">
        <v>264</v>
      </c>
    </row>
    <row r="2" customFormat="false" ht="15" hidden="false" customHeight="false" outlineLevel="0" collapsed="false">
      <c r="B2" s="2" t="s">
        <v>15</v>
      </c>
      <c r="C2" s="2" t="s">
        <v>265</v>
      </c>
      <c r="D2" s="2" t="s">
        <v>266</v>
      </c>
      <c r="E2" s="6" t="n">
        <v>46447</v>
      </c>
    </row>
    <row r="3" customFormat="false" ht="15" hidden="false" customHeight="false" outlineLevel="0" collapsed="false">
      <c r="B3" s="4" t="s">
        <v>15</v>
      </c>
      <c r="C3" s="4" t="s">
        <v>267</v>
      </c>
      <c r="D3" s="4" t="s">
        <v>268</v>
      </c>
      <c r="E3" s="7" t="n">
        <v>46401</v>
      </c>
    </row>
    <row r="4" customFormat="false" ht="15" hidden="false" customHeight="false" outlineLevel="0" collapsed="false">
      <c r="B4" s="2" t="s">
        <v>20</v>
      </c>
      <c r="C4" s="2" t="s">
        <v>265</v>
      </c>
      <c r="D4" s="2" t="s">
        <v>269</v>
      </c>
      <c r="E4" s="6" t="n">
        <v>46447</v>
      </c>
    </row>
    <row r="5" customFormat="false" ht="15" hidden="false" customHeight="false" outlineLevel="0" collapsed="false">
      <c r="B5" s="4" t="s">
        <v>20</v>
      </c>
      <c r="C5" s="4" t="s">
        <v>267</v>
      </c>
      <c r="D5" s="4" t="s">
        <v>270</v>
      </c>
      <c r="E5" s="7" t="n">
        <v>46401</v>
      </c>
    </row>
    <row r="6" customFormat="false" ht="15" hidden="false" customHeight="false" outlineLevel="0" collapsed="false">
      <c r="B6" s="2" t="s">
        <v>24</v>
      </c>
      <c r="C6" s="2" t="s">
        <v>265</v>
      </c>
      <c r="D6" s="2" t="s">
        <v>271</v>
      </c>
      <c r="E6" s="6" t="n">
        <v>46447</v>
      </c>
    </row>
    <row r="7" customFormat="false" ht="15" hidden="false" customHeight="false" outlineLevel="0" collapsed="false">
      <c r="B7" s="4" t="s">
        <v>24</v>
      </c>
      <c r="C7" s="4" t="s">
        <v>267</v>
      </c>
      <c r="D7" s="4" t="s">
        <v>272</v>
      </c>
      <c r="E7" s="7" t="n">
        <v>46401</v>
      </c>
    </row>
    <row r="8" customFormat="false" ht="15" hidden="false" customHeight="false" outlineLevel="0" collapsed="false">
      <c r="B8" s="2" t="s">
        <v>27</v>
      </c>
      <c r="C8" s="2" t="s">
        <v>265</v>
      </c>
      <c r="D8" s="2" t="s">
        <v>273</v>
      </c>
      <c r="E8" s="6" t="n">
        <v>46447</v>
      </c>
    </row>
    <row r="9" customFormat="false" ht="15" hidden="false" customHeight="false" outlineLevel="0" collapsed="false">
      <c r="B9" s="4" t="s">
        <v>27</v>
      </c>
      <c r="C9" s="4" t="s">
        <v>267</v>
      </c>
      <c r="D9" s="4" t="s">
        <v>274</v>
      </c>
      <c r="E9" s="7" t="n">
        <v>46401</v>
      </c>
    </row>
    <row r="10" customFormat="false" ht="15" hidden="false" customHeight="false" outlineLevel="0" collapsed="false">
      <c r="B10" s="2" t="s">
        <v>31</v>
      </c>
      <c r="C10" s="2" t="s">
        <v>265</v>
      </c>
      <c r="D10" s="2" t="s">
        <v>275</v>
      </c>
      <c r="E10" s="6" t="n">
        <v>46447</v>
      </c>
    </row>
    <row r="11" customFormat="false" ht="15" hidden="false" customHeight="false" outlineLevel="0" collapsed="false">
      <c r="B11" s="4" t="s">
        <v>31</v>
      </c>
      <c r="C11" s="4" t="s">
        <v>267</v>
      </c>
      <c r="D11" s="4" t="s">
        <v>276</v>
      </c>
      <c r="E11" s="7" t="n">
        <v>46401</v>
      </c>
    </row>
    <row r="12" customFormat="false" ht="15" hidden="false" customHeight="false" outlineLevel="0" collapsed="false">
      <c r="B12" s="2" t="s">
        <v>35</v>
      </c>
      <c r="C12" s="2" t="s">
        <v>265</v>
      </c>
      <c r="D12" s="2" t="s">
        <v>277</v>
      </c>
      <c r="E12" s="6" t="n">
        <v>46447</v>
      </c>
    </row>
    <row r="13" customFormat="false" ht="15" hidden="false" customHeight="false" outlineLevel="0" collapsed="false">
      <c r="B13" s="4" t="s">
        <v>35</v>
      </c>
      <c r="C13" s="4" t="s">
        <v>267</v>
      </c>
      <c r="D13" s="4" t="s">
        <v>278</v>
      </c>
      <c r="E13" s="7" t="n">
        <v>46401</v>
      </c>
    </row>
    <row r="14" customFormat="false" ht="15" hidden="false" customHeight="false" outlineLevel="0" collapsed="false">
      <c r="B14" s="2" t="s">
        <v>39</v>
      </c>
      <c r="C14" s="2" t="s">
        <v>265</v>
      </c>
      <c r="D14" s="2" t="s">
        <v>279</v>
      </c>
      <c r="E14" s="6" t="n">
        <v>46447</v>
      </c>
    </row>
    <row r="15" customFormat="false" ht="15" hidden="false" customHeight="false" outlineLevel="0" collapsed="false">
      <c r="B15" s="4" t="s">
        <v>39</v>
      </c>
      <c r="C15" s="4" t="s">
        <v>267</v>
      </c>
      <c r="D15" s="4" t="s">
        <v>280</v>
      </c>
      <c r="E15" s="7" t="n">
        <v>46331</v>
      </c>
    </row>
    <row r="16" customFormat="false" ht="15" hidden="false" customHeight="false" outlineLevel="0" collapsed="false">
      <c r="B16" s="2" t="s">
        <v>42</v>
      </c>
      <c r="C16" s="2" t="s">
        <v>265</v>
      </c>
      <c r="D16" s="2" t="s">
        <v>281</v>
      </c>
      <c r="E16" s="6" t="n">
        <v>46447</v>
      </c>
    </row>
    <row r="17" customFormat="false" ht="15" hidden="false" customHeight="false" outlineLevel="0" collapsed="false">
      <c r="B17" s="4" t="s">
        <v>42</v>
      </c>
      <c r="C17" s="4" t="s">
        <v>267</v>
      </c>
      <c r="D17" s="4" t="s">
        <v>282</v>
      </c>
      <c r="E17" s="7" t="n">
        <v>46401</v>
      </c>
    </row>
    <row r="18" customFormat="false" ht="15" hidden="false" customHeight="false" outlineLevel="0" collapsed="false">
      <c r="B18" s="2" t="s">
        <v>45</v>
      </c>
      <c r="C18" s="2" t="s">
        <v>265</v>
      </c>
      <c r="D18" s="2" t="s">
        <v>283</v>
      </c>
      <c r="E18" s="6" t="n">
        <v>46447</v>
      </c>
    </row>
    <row r="19" customFormat="false" ht="15" hidden="false" customHeight="false" outlineLevel="0" collapsed="false">
      <c r="B19" s="4" t="s">
        <v>45</v>
      </c>
      <c r="C19" s="4" t="s">
        <v>267</v>
      </c>
      <c r="D19" s="4" t="s">
        <v>284</v>
      </c>
      <c r="E19" s="7" t="n">
        <v>46401</v>
      </c>
    </row>
    <row r="20" customFormat="false" ht="15" hidden="false" customHeight="false" outlineLevel="0" collapsed="false">
      <c r="B20" s="2" t="s">
        <v>48</v>
      </c>
      <c r="C20" s="2" t="s">
        <v>265</v>
      </c>
      <c r="D20" s="2" t="s">
        <v>285</v>
      </c>
      <c r="E20" s="6" t="n">
        <v>46447</v>
      </c>
    </row>
    <row r="21" customFormat="false" ht="15" hidden="false" customHeight="false" outlineLevel="0" collapsed="false">
      <c r="B21" s="4" t="s">
        <v>48</v>
      </c>
      <c r="C21" s="4" t="s">
        <v>267</v>
      </c>
      <c r="D21" s="4" t="s">
        <v>286</v>
      </c>
      <c r="E21" s="7" t="n">
        <v>46401</v>
      </c>
    </row>
  </sheetData>
  <autoFilter ref="A1:F2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3"/>
  </cols>
  <sheetData>
    <row r="1" customFormat="false" ht="30" hidden="false" customHeight="true" outlineLevel="0" collapsed="false">
      <c r="A1" s="1" t="s">
        <v>0</v>
      </c>
      <c r="B1" s="1" t="s">
        <v>287</v>
      </c>
      <c r="C1" s="1" t="s">
        <v>288</v>
      </c>
      <c r="D1" s="1" t="s">
        <v>289</v>
      </c>
    </row>
    <row r="2" customFormat="false" ht="15" hidden="false" customHeight="false" outlineLevel="0" collapsed="false">
      <c r="B2" s="2" t="s">
        <v>134</v>
      </c>
    </row>
    <row r="3" customFormat="false" ht="15" hidden="false" customHeight="false" outlineLevel="0" collapsed="false">
      <c r="B3" s="4" t="s">
        <v>113</v>
      </c>
    </row>
    <row r="4" customFormat="false" ht="15" hidden="false" customHeight="false" outlineLevel="0" collapsed="false">
      <c r="B4" s="2" t="s">
        <v>160</v>
      </c>
    </row>
    <row r="5" customFormat="false" ht="15" hidden="false" customHeight="false" outlineLevel="0" collapsed="false">
      <c r="B5" s="4" t="s">
        <v>104</v>
      </c>
    </row>
    <row r="6" customFormat="false" ht="15" hidden="false" customHeight="false" outlineLevel="0" collapsed="false">
      <c r="B6" s="2" t="s">
        <v>118</v>
      </c>
    </row>
    <row r="7" customFormat="false" ht="15" hidden="false" customHeight="false" outlineLevel="0" collapsed="false">
      <c r="B7" s="4" t="s">
        <v>139</v>
      </c>
    </row>
  </sheetData>
  <autoFilter ref="A1:D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</cols>
  <sheetData>
    <row r="1" customFormat="false" ht="30" hidden="false" customHeight="true" outlineLevel="0" collapsed="false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</row>
    <row r="2" customFormat="false" ht="15" hidden="false" customHeight="false" outlineLevel="0" collapsed="false">
      <c r="B2" s="2" t="s">
        <v>121</v>
      </c>
      <c r="C2" s="2" t="s">
        <v>109</v>
      </c>
      <c r="D2" s="2" t="s">
        <v>19</v>
      </c>
      <c r="E2" s="2" t="s">
        <v>265</v>
      </c>
    </row>
    <row r="3" customFormat="false" ht="15" hidden="false" customHeight="false" outlineLevel="0" collapsed="false">
      <c r="B3" s="4" t="s">
        <v>116</v>
      </c>
      <c r="C3" s="4" t="s">
        <v>100</v>
      </c>
      <c r="D3" s="4" t="s">
        <v>30</v>
      </c>
      <c r="E3" s="4" t="s">
        <v>267</v>
      </c>
    </row>
    <row r="4" customFormat="false" ht="15" hidden="false" customHeight="false" outlineLevel="0" collapsed="false">
      <c r="B4" s="2" t="s">
        <v>101</v>
      </c>
      <c r="C4" s="2" t="s">
        <v>131</v>
      </c>
      <c r="D4" s="2" t="s">
        <v>294</v>
      </c>
      <c r="E4" s="2" t="s">
        <v>295</v>
      </c>
    </row>
    <row r="5" customFormat="false" ht="15" hidden="false" customHeight="false" outlineLevel="0" collapsed="false">
      <c r="B5" s="4" t="s">
        <v>110</v>
      </c>
      <c r="C5" s="4" t="s">
        <v>136</v>
      </c>
      <c r="E5" s="4" t="s">
        <v>296</v>
      </c>
    </row>
    <row r="6" customFormat="false" ht="15" hidden="false" customHeight="false" outlineLevel="0" collapsed="false">
      <c r="B6" s="2" t="s">
        <v>126</v>
      </c>
      <c r="E6" s="2" t="s">
        <v>297</v>
      </c>
    </row>
    <row r="7" customFormat="false" ht="15" hidden="false" customHeight="false" outlineLevel="0" collapsed="false">
      <c r="B7" s="4" t="s">
        <v>206</v>
      </c>
    </row>
    <row r="8" customFormat="false" ht="15" hidden="false" customHeight="false" outlineLevel="0" collapsed="false">
      <c r="B8" s="2" t="s">
        <v>195</v>
      </c>
    </row>
    <row r="9" customFormat="false" ht="15" hidden="false" customHeight="false" outlineLevel="0" collapsed="false">
      <c r="B9" s="4" t="s">
        <v>157</v>
      </c>
    </row>
    <row r="10" customFormat="false" ht="15" hidden="false" customHeight="false" outlineLevel="0" collapsed="false">
      <c r="B10" s="2" t="s">
        <v>298</v>
      </c>
    </row>
  </sheetData>
  <autoFilter ref="A1:E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3"/>
  </cols>
  <sheetData>
    <row r="1" customFormat="false" ht="30" hidden="false" customHeight="true" outlineLevel="0" collapsed="false">
      <c r="A1" s="1" t="s">
        <v>0</v>
      </c>
      <c r="B1" s="1" t="s">
        <v>299</v>
      </c>
      <c r="C1" s="1" t="s">
        <v>300</v>
      </c>
    </row>
    <row r="2" customFormat="false" ht="15" hidden="false" customHeight="false" outlineLevel="0" collapsed="false">
      <c r="A2" s="2" t="s">
        <v>301</v>
      </c>
      <c r="B2" s="2" t="s">
        <v>302</v>
      </c>
    </row>
    <row r="3" customFormat="false" ht="15" hidden="false" customHeight="false" outlineLevel="0" collapsed="false">
      <c r="A3" s="4" t="s">
        <v>303</v>
      </c>
      <c r="B3" s="4" t="s">
        <v>304</v>
      </c>
    </row>
    <row r="4" customFormat="false" ht="15" hidden="false" customHeight="false" outlineLevel="0" collapsed="false">
      <c r="A4" s="2" t="s">
        <v>305</v>
      </c>
      <c r="B4" s="2" t="s">
        <v>306</v>
      </c>
    </row>
    <row r="5" customFormat="false" ht="15" hidden="false" customHeight="false" outlineLevel="0" collapsed="false">
      <c r="A5" s="4" t="s">
        <v>307</v>
      </c>
      <c r="B5" s="4" t="s">
        <v>308</v>
      </c>
    </row>
    <row r="6" customFormat="false" ht="15" hidden="false" customHeight="false" outlineLevel="0" collapsed="false">
      <c r="A6" s="2" t="s">
        <v>309</v>
      </c>
      <c r="B6" s="2"/>
    </row>
    <row r="7" customFormat="false" ht="15" hidden="false" customHeight="false" outlineLevel="0" collapsed="false">
      <c r="A7" s="4" t="s">
        <v>310</v>
      </c>
      <c r="B7" s="4"/>
    </row>
  </sheetData>
  <autoFilter ref="A1:C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3"/>
  </cols>
  <sheetData>
    <row r="1" customFormat="false" ht="30" hidden="false" customHeight="true" outlineLevel="0" collapsed="false">
      <c r="A1" s="1" t="s">
        <v>311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 customFormat="false" ht="15" hidden="false" customHeight="false" outlineLevel="0" collapsed="false">
      <c r="A2" s="2" t="s">
        <v>319</v>
      </c>
      <c r="B2" s="2" t="s">
        <v>106</v>
      </c>
      <c r="C2" s="2" t="s">
        <v>320</v>
      </c>
      <c r="D2" s="2" t="s">
        <v>321</v>
      </c>
      <c r="H2" s="2" t="s">
        <v>322</v>
      </c>
    </row>
  </sheetData>
  <autoFilter ref="A1:H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25"/>
  </cols>
  <sheetData>
    <row r="1" customFormat="false" ht="30" hidden="false" customHeight="true" outlineLevel="0" collapsed="false">
      <c r="A1" s="1" t="s">
        <v>6</v>
      </c>
      <c r="B1" s="1" t="s">
        <v>323</v>
      </c>
      <c r="C1" s="1" t="s">
        <v>324</v>
      </c>
      <c r="D1" s="1" t="s">
        <v>325</v>
      </c>
    </row>
  </sheetData>
  <autoFilter ref="A1:D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7"/>
  </cols>
  <sheetData>
    <row r="1" customFormat="false" ht="37.5" hidden="false" customHeight="true" outlineLevel="0" collapsed="false">
      <c r="A1" s="8" t="s">
        <v>326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327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A4" s="10" t="s">
        <v>328</v>
      </c>
      <c r="B4" s="10" t="s">
        <v>329</v>
      </c>
      <c r="C4" s="10" t="s">
        <v>330</v>
      </c>
      <c r="D4" s="10" t="s">
        <v>331</v>
      </c>
      <c r="E4" s="10" t="s">
        <v>332</v>
      </c>
      <c r="F4" s="10" t="s">
        <v>333</v>
      </c>
      <c r="G4" s="10" t="s">
        <v>334</v>
      </c>
      <c r="H4" s="10" t="s">
        <v>335</v>
      </c>
      <c r="I4" s="10" t="s">
        <v>336</v>
      </c>
      <c r="J4" s="10" t="s">
        <v>337</v>
      </c>
    </row>
    <row r="5" customFormat="false" ht="15" hidden="false" customHeight="false" outlineLevel="0" collapsed="false">
      <c r="A5" s="10" t="s">
        <v>15</v>
      </c>
      <c r="B5" s="10" t="s">
        <v>55</v>
      </c>
      <c r="C5" s="10" t="s">
        <v>19</v>
      </c>
      <c r="D5" s="11" t="n">
        <v>83900</v>
      </c>
      <c r="E5" s="12" t="n">
        <v>46276.5</v>
      </c>
      <c r="F5" s="10" t="s">
        <v>338</v>
      </c>
      <c r="G5" s="11" t="n">
        <v>5110</v>
      </c>
      <c r="H5" s="10" t="n">
        <v>49</v>
      </c>
      <c r="I5" s="13" t="n">
        <v>2800</v>
      </c>
      <c r="J5" s="10" t="n">
        <v>1</v>
      </c>
    </row>
    <row r="6" customFormat="false" ht="15" hidden="false" customHeight="false" outlineLevel="0" collapsed="false">
      <c r="A6" s="10" t="s">
        <v>20</v>
      </c>
      <c r="B6" s="10" t="s">
        <v>57</v>
      </c>
      <c r="C6" s="10" t="s">
        <v>19</v>
      </c>
      <c r="D6" s="11" t="n">
        <v>49780</v>
      </c>
      <c r="E6" s="12" t="n">
        <v>46263.5</v>
      </c>
      <c r="F6" s="10" t="s">
        <v>338</v>
      </c>
      <c r="G6" s="11" t="n">
        <v>10000</v>
      </c>
      <c r="H6" s="10" t="n">
        <v>36</v>
      </c>
      <c r="I6" s="14" t="n">
        <v>0</v>
      </c>
      <c r="J6" s="0" t="n">
        <v>0</v>
      </c>
    </row>
    <row r="7" customFormat="false" ht="15" hidden="false" customHeight="false" outlineLevel="0" collapsed="false">
      <c r="A7" s="10" t="s">
        <v>24</v>
      </c>
      <c r="B7" s="10" t="s">
        <v>59</v>
      </c>
      <c r="C7" s="10" t="s">
        <v>19</v>
      </c>
      <c r="D7" s="11" t="n">
        <v>141100</v>
      </c>
      <c r="E7" s="12" t="n">
        <v>46230.5</v>
      </c>
      <c r="F7" s="10" t="s">
        <v>339</v>
      </c>
      <c r="G7" s="11" t="n">
        <v>580</v>
      </c>
      <c r="H7" s="10" t="n">
        <v>3</v>
      </c>
      <c r="I7" s="13" t="n">
        <v>7900</v>
      </c>
      <c r="J7" s="10" t="n">
        <v>2</v>
      </c>
    </row>
    <row r="8" customFormat="false" ht="15" hidden="false" customHeight="false" outlineLevel="0" collapsed="false">
      <c r="A8" s="10" t="s">
        <v>27</v>
      </c>
      <c r="B8" s="10" t="s">
        <v>61</v>
      </c>
      <c r="C8" s="10" t="s">
        <v>30</v>
      </c>
      <c r="D8" s="11" t="n">
        <v>118640</v>
      </c>
      <c r="E8" s="12" t="n">
        <v>46224.5</v>
      </c>
      <c r="F8" s="10" t="s">
        <v>340</v>
      </c>
      <c r="G8" s="11" t="n">
        <v>7260</v>
      </c>
      <c r="H8" s="10" t="n">
        <v>-3</v>
      </c>
      <c r="I8" s="13" t="n">
        <v>24600</v>
      </c>
      <c r="J8" s="10" t="n">
        <v>6</v>
      </c>
    </row>
    <row r="9" customFormat="false" ht="15" hidden="false" customHeight="false" outlineLevel="0" collapsed="false">
      <c r="A9" s="10" t="s">
        <v>31</v>
      </c>
      <c r="B9" s="10" t="s">
        <v>64</v>
      </c>
      <c r="C9" s="10" t="s">
        <v>19</v>
      </c>
      <c r="D9" s="11" t="n">
        <v>37550</v>
      </c>
      <c r="E9" s="12" t="n">
        <v>46296.4583333333</v>
      </c>
      <c r="F9" s="10" t="s">
        <v>338</v>
      </c>
      <c r="G9" s="11" t="n">
        <v>10000</v>
      </c>
      <c r="H9" s="10" t="n">
        <v>69</v>
      </c>
      <c r="I9" s="14" t="n">
        <v>0</v>
      </c>
      <c r="J9" s="0" t="n">
        <v>0</v>
      </c>
    </row>
    <row r="10" customFormat="false" ht="15" hidden="false" customHeight="false" outlineLevel="0" collapsed="false">
      <c r="A10" s="10" t="s">
        <v>35</v>
      </c>
      <c r="B10" s="10" t="s">
        <v>66</v>
      </c>
      <c r="C10" s="10" t="s">
        <v>19</v>
      </c>
      <c r="D10" s="11" t="n">
        <v>163900</v>
      </c>
      <c r="E10" s="12" t="n">
        <v>46253.5</v>
      </c>
      <c r="F10" s="10" t="s">
        <v>338</v>
      </c>
      <c r="G10" s="11" t="n">
        <v>8400</v>
      </c>
      <c r="H10" s="10" t="n">
        <v>26</v>
      </c>
      <c r="I10" s="13" t="n">
        <v>14800</v>
      </c>
      <c r="J10" s="10" t="n">
        <v>3</v>
      </c>
    </row>
    <row r="11" customFormat="false" ht="15" hidden="false" customHeight="false" outlineLevel="0" collapsed="false">
      <c r="A11" s="10" t="s">
        <v>39</v>
      </c>
      <c r="B11" s="10" t="s">
        <v>68</v>
      </c>
      <c r="C11" s="10" t="s">
        <v>19</v>
      </c>
      <c r="D11" s="11" t="n">
        <v>70400</v>
      </c>
      <c r="E11" s="12" t="n">
        <v>46233.5</v>
      </c>
      <c r="F11" s="10" t="s">
        <v>339</v>
      </c>
      <c r="G11" s="11" t="n">
        <v>3720</v>
      </c>
      <c r="H11" s="10" t="n">
        <v>6</v>
      </c>
      <c r="I11" s="13" t="n">
        <v>3400</v>
      </c>
      <c r="J11" s="10" t="n">
        <v>1</v>
      </c>
    </row>
    <row r="12" customFormat="false" ht="15" hidden="false" customHeight="false" outlineLevel="0" collapsed="false">
      <c r="A12" s="10" t="s">
        <v>42</v>
      </c>
      <c r="B12" s="10" t="s">
        <v>70</v>
      </c>
      <c r="C12" s="10" t="s">
        <v>19</v>
      </c>
      <c r="D12" s="11" t="n">
        <v>93960</v>
      </c>
      <c r="E12" s="12" t="n">
        <v>46284.5</v>
      </c>
      <c r="F12" s="10" t="s">
        <v>338</v>
      </c>
      <c r="G12" s="11" t="n">
        <v>10000</v>
      </c>
      <c r="H12" s="10" t="n">
        <v>57</v>
      </c>
      <c r="I12" s="14" t="n">
        <v>0</v>
      </c>
      <c r="J12" s="0" t="n">
        <v>0</v>
      </c>
    </row>
    <row r="13" customFormat="false" ht="15" hidden="false" customHeight="false" outlineLevel="0" collapsed="false">
      <c r="A13" s="10" t="s">
        <v>45</v>
      </c>
      <c r="B13" s="10" t="s">
        <v>72</v>
      </c>
      <c r="C13" s="10" t="s">
        <v>19</v>
      </c>
      <c r="D13" s="11" t="n">
        <v>125770</v>
      </c>
      <c r="E13" s="12" t="n">
        <v>46261.5</v>
      </c>
      <c r="F13" s="10" t="s">
        <v>338</v>
      </c>
      <c r="G13" s="11" t="n">
        <v>9330</v>
      </c>
      <c r="H13" s="10" t="n">
        <v>34</v>
      </c>
      <c r="I13" s="13" t="n">
        <v>16500</v>
      </c>
      <c r="J13" s="10" t="n">
        <v>3</v>
      </c>
    </row>
    <row r="14" customFormat="false" ht="15" hidden="false" customHeight="false" outlineLevel="0" collapsed="false">
      <c r="A14" s="10" t="s">
        <v>48</v>
      </c>
      <c r="B14" s="10" t="s">
        <v>74</v>
      </c>
      <c r="C14" s="10" t="s">
        <v>19</v>
      </c>
      <c r="D14" s="11" t="n">
        <v>182300</v>
      </c>
      <c r="E14" s="12" t="n">
        <v>46243.5</v>
      </c>
      <c r="F14" s="10" t="s">
        <v>338</v>
      </c>
      <c r="G14" s="11" t="n">
        <v>8200</v>
      </c>
      <c r="H14" s="10" t="n">
        <v>16</v>
      </c>
      <c r="I14" s="13" t="n">
        <v>1200</v>
      </c>
      <c r="J14" s="10" t="n">
        <v>1</v>
      </c>
    </row>
  </sheetData>
  <autoFilter ref="A4:J14"/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9" min="2" style="0" width="23"/>
    <col collapsed="false" customWidth="true" hidden="false" outlineLevel="0" max="10" min="10" style="0" width="14"/>
  </cols>
  <sheetData>
    <row r="1" customFormat="false" ht="37.5" hidden="false" customHeight="true" outlineLevel="0" collapsed="false">
      <c r="A1" s="8" t="s">
        <v>341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342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0" hidden="false" customHeight="true" outlineLevel="0" collapsed="false">
      <c r="A4" s="1" t="s">
        <v>328</v>
      </c>
      <c r="B4" s="1" t="s">
        <v>121</v>
      </c>
      <c r="C4" s="1" t="s">
        <v>116</v>
      </c>
      <c r="D4" s="1" t="s">
        <v>101</v>
      </c>
      <c r="E4" s="1" t="s">
        <v>110</v>
      </c>
      <c r="F4" s="1" t="s">
        <v>126</v>
      </c>
      <c r="G4" s="1" t="s">
        <v>206</v>
      </c>
      <c r="H4" s="1" t="s">
        <v>195</v>
      </c>
      <c r="I4" s="1" t="s">
        <v>157</v>
      </c>
      <c r="J4" s="1" t="s">
        <v>343</v>
      </c>
    </row>
    <row r="5" customFormat="false" ht="15" hidden="false" customHeight="false" outlineLevel="0" collapsed="false">
      <c r="A5" s="10" t="s">
        <v>15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10" t="n">
        <v>1</v>
      </c>
      <c r="H5" s="0" t="n">
        <v>0</v>
      </c>
      <c r="I5" s="0" t="n">
        <v>0</v>
      </c>
      <c r="J5" s="10" t="n">
        <v>1</v>
      </c>
    </row>
    <row r="6" customFormat="false" ht="15" hidden="false" customHeight="false" outlineLevel="0" collapsed="false">
      <c r="A6" s="10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</row>
    <row r="7" customFormat="false" ht="15" hidden="false" customHeight="false" outlineLevel="0" collapsed="false">
      <c r="A7" s="10" t="s">
        <v>24</v>
      </c>
      <c r="B7" s="0" t="n">
        <v>0</v>
      </c>
      <c r="C7" s="0" t="n">
        <v>0</v>
      </c>
      <c r="D7" s="0" t="n">
        <v>0</v>
      </c>
      <c r="E7" s="0" t="n">
        <v>0</v>
      </c>
      <c r="F7" s="10" t="n">
        <v>2</v>
      </c>
      <c r="G7" s="0" t="n">
        <v>0</v>
      </c>
      <c r="H7" s="0" t="n">
        <v>0</v>
      </c>
      <c r="I7" s="0" t="n">
        <v>0</v>
      </c>
      <c r="J7" s="10" t="n">
        <v>2</v>
      </c>
    </row>
    <row r="8" customFormat="false" ht="15" hidden="false" customHeight="false" outlineLevel="0" collapsed="false">
      <c r="A8" s="10" t="s">
        <v>27</v>
      </c>
      <c r="B8" s="10" t="n">
        <v>4</v>
      </c>
      <c r="C8" s="0" t="n">
        <v>0</v>
      </c>
      <c r="D8" s="0" t="n">
        <v>0</v>
      </c>
      <c r="E8" s="10" t="n">
        <v>1</v>
      </c>
      <c r="F8" s="0" t="n">
        <v>0</v>
      </c>
      <c r="G8" s="0" t="n">
        <v>0</v>
      </c>
      <c r="H8" s="0" t="n">
        <v>0</v>
      </c>
      <c r="I8" s="10" t="n">
        <v>1</v>
      </c>
      <c r="J8" s="10" t="n">
        <v>6</v>
      </c>
    </row>
    <row r="9" customFormat="false" ht="15" hidden="false" customHeight="false" outlineLevel="0" collapsed="false">
      <c r="A9" s="10" t="s">
        <v>31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</row>
    <row r="10" customFormat="false" ht="15" hidden="false" customHeight="false" outlineLevel="0" collapsed="false">
      <c r="A10" s="10" t="s">
        <v>35</v>
      </c>
      <c r="B10" s="0" t="n">
        <v>0</v>
      </c>
      <c r="C10" s="0" t="n">
        <v>0</v>
      </c>
      <c r="D10" s="10" t="n">
        <v>3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10" t="n">
        <v>3</v>
      </c>
    </row>
    <row r="11" customFormat="false" ht="15" hidden="false" customHeight="false" outlineLevel="0" collapsed="false">
      <c r="A11" s="10" t="s">
        <v>39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10" t="n">
        <v>1</v>
      </c>
      <c r="I11" s="0" t="n">
        <v>0</v>
      </c>
      <c r="J11" s="10" t="n">
        <v>1</v>
      </c>
    </row>
    <row r="12" customFormat="false" ht="15" hidden="false" customHeight="false" outlineLevel="0" collapsed="false">
      <c r="A12" s="10" t="s">
        <v>42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</row>
    <row r="13" customFormat="false" ht="15" hidden="false" customHeight="false" outlineLevel="0" collapsed="false">
      <c r="A13" s="10" t="s">
        <v>45</v>
      </c>
      <c r="B13" s="0" t="n">
        <v>0</v>
      </c>
      <c r="C13" s="10" t="n">
        <v>3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10" t="n">
        <v>3</v>
      </c>
    </row>
    <row r="14" customFormat="false" ht="15" hidden="false" customHeight="false" outlineLevel="0" collapsed="false">
      <c r="A14" s="10" t="s">
        <v>48</v>
      </c>
      <c r="B14" s="0" t="n">
        <v>0</v>
      </c>
      <c r="C14" s="0" t="n">
        <v>0</v>
      </c>
      <c r="D14" s="1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10" t="n">
        <v>1</v>
      </c>
    </row>
  </sheetData>
  <autoFilter ref="A4:J14"/>
  <mergeCells count="2">
    <mergeCell ref="A1:J1"/>
    <mergeCell ref="A2:J2"/>
  </mergeCells>
  <conditionalFormatting sqref="B5:I14">
    <cfRule type="cellIs" priority="2" operator="greaterThanOrEqual" aboveAverage="0" equalAverage="0" bottom="0" percent="0" rank="0" text="" dxfId="9">
      <formula>2</formula>
    </cfRule>
    <cfRule type="cellIs" priority="3" operator="equal" aboveAverage="0" equalAverage="0" bottom="0" percent="0" rank="0" text="" dxfId="10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8"/>
  </cols>
  <sheetData>
    <row r="1" customFormat="false" ht="37.5" hidden="false" customHeight="true" outlineLevel="0" collapsed="false">
      <c r="A1" s="8" t="s">
        <v>344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345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15" t="s">
        <v>346</v>
      </c>
      <c r="B4" s="15"/>
      <c r="C4" s="15" t="s">
        <v>347</v>
      </c>
      <c r="D4" s="15"/>
      <c r="E4" s="15" t="s">
        <v>348</v>
      </c>
      <c r="F4" s="15"/>
      <c r="G4" s="15" t="s">
        <v>349</v>
      </c>
      <c r="H4" s="15"/>
    </row>
    <row r="5" customFormat="false" ht="15" hidden="false" customHeight="false" outlineLevel="0" collapsed="false">
      <c r="A5" s="16" t="n">
        <v>10</v>
      </c>
      <c r="B5" s="16"/>
      <c r="C5" s="16" t="n">
        <v>1</v>
      </c>
      <c r="D5" s="16"/>
      <c r="E5" s="16" t="n">
        <v>3</v>
      </c>
      <c r="F5" s="16"/>
      <c r="G5" s="17" t="n">
        <v>278700</v>
      </c>
      <c r="H5" s="17"/>
    </row>
    <row r="6" customFormat="false" ht="15" hidden="false" customHeight="false" outlineLevel="0" collapsed="false">
      <c r="A6" s="16"/>
      <c r="B6" s="16"/>
      <c r="C6" s="16"/>
      <c r="D6" s="16"/>
      <c r="E6" s="16"/>
      <c r="F6" s="16"/>
      <c r="G6" s="17"/>
      <c r="H6" s="17"/>
    </row>
    <row r="8" customFormat="false" ht="15" hidden="false" customHeight="true" outlineLevel="0" collapsed="false">
      <c r="A8" s="18" t="s">
        <v>350</v>
      </c>
      <c r="B8" s="18"/>
      <c r="C8" s="18"/>
      <c r="D8" s="18"/>
      <c r="E8" s="18" t="s">
        <v>351</v>
      </c>
      <c r="F8" s="18"/>
      <c r="G8" s="18"/>
      <c r="H8" s="18"/>
    </row>
    <row r="9" customFormat="false" ht="27.75" hidden="false" customHeight="true" outlineLevel="0" collapsed="false">
      <c r="A9" s="19" t="s">
        <v>352</v>
      </c>
      <c r="B9" s="19"/>
      <c r="C9" s="19"/>
      <c r="D9" s="19"/>
      <c r="E9" s="19" t="s">
        <v>353</v>
      </c>
      <c r="F9" s="19"/>
      <c r="G9" s="19"/>
      <c r="H9" s="19"/>
    </row>
    <row r="10" customFormat="false" ht="27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</row>
    <row r="12" customFormat="false" ht="15" hidden="false" customHeight="true" outlineLevel="0" collapsed="false">
      <c r="A12" s="18" t="s">
        <v>354</v>
      </c>
      <c r="B12" s="18"/>
      <c r="C12" s="18"/>
      <c r="D12" s="18"/>
      <c r="E12" s="18"/>
      <c r="F12" s="18"/>
      <c r="G12" s="18"/>
      <c r="H12" s="18"/>
    </row>
    <row r="13" customFormat="false" ht="31.5" hidden="false" customHeight="true" outlineLevel="0" collapsed="false">
      <c r="A13" s="20" t="s">
        <v>355</v>
      </c>
      <c r="B13" s="20"/>
      <c r="C13" s="20"/>
      <c r="D13" s="20"/>
      <c r="E13" s="20"/>
      <c r="F13" s="20"/>
      <c r="G13" s="20"/>
      <c r="H13" s="20"/>
    </row>
    <row r="14" customFormat="false" ht="31.5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</row>
    <row r="16" customFormat="false" ht="30" hidden="false" customHeight="true" outlineLevel="0" collapsed="false">
      <c r="A16" s="21" t="s">
        <v>356</v>
      </c>
      <c r="B16" s="21"/>
      <c r="C16" s="21"/>
      <c r="D16" s="21"/>
      <c r="E16" s="21"/>
      <c r="F16" s="21"/>
      <c r="G16" s="21"/>
      <c r="H16" s="21"/>
    </row>
    <row r="18" customFormat="false" ht="15" hidden="false" customHeight="false" outlineLevel="0" collapsed="false">
      <c r="A18" s="22" t="s">
        <v>357</v>
      </c>
      <c r="C18" s="22" t="s">
        <v>358</v>
      </c>
    </row>
  </sheetData>
  <mergeCells count="17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8:D8"/>
    <mergeCell ref="E8:H8"/>
    <mergeCell ref="A9:D10"/>
    <mergeCell ref="E9:H10"/>
    <mergeCell ref="A12:H12"/>
    <mergeCell ref="A13:H14"/>
    <mergeCell ref="A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2026-10-23T01:16:49Z</dcterms:created>
  <dc:creator>Bus Logbook</dc:creator>
  <dc:description/>
  <dc:language>en-NZ</dc:language>
  <cp:lastModifiedBy>Unknown</cp:lastModifiedBy>
  <dcterms:modified xsi:type="dcterms:W3CDTF">2026-10-23T01:16:49Z</dcterms:modified>
  <cp:revision>0</cp:revision>
  <dc:subject>Standalone Excel fleet maintenance dashboard</dc:subject>
  <dc:title>Bus Logbook Dashboard - Demo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